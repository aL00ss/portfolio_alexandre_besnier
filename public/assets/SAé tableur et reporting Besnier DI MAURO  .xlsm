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https://etuunivpoitiersfr-my.sharepoint.com/personal/alessandra_di_mauro_etu_univ-poitiers_fr/Documents/"/>
    </mc:Choice>
  </mc:AlternateContent>
  <xr:revisionPtr revIDLastSave="49" documentId="13_ncr:1_{AB206A95-A59E-43FF-AB49-EB0F5C1B3607}" xr6:coauthVersionLast="47" xr6:coauthVersionMax="47" xr10:uidLastSave="{FA96FE24-1E99-45E8-A36D-A37CAA8F8CEE}"/>
  <bookViews>
    <workbookView xWindow="-110" yWindow="-110" windowWidth="19420" windowHeight="10300" tabRatio="551" xr2:uid="{6AA46C1D-3959-45A6-8A1F-C28DA7F9B141}"/>
  </bookViews>
  <sheets>
    <sheet name="Accueil" sheetId="14" r:id="rId1"/>
    <sheet name="Tableau de bord" sheetId="7" r:id="rId2"/>
    <sheet name="BDD-Objectifs" sheetId="15" state="hidden" r:id="rId3"/>
    <sheet name="BDD" sheetId="12" r:id="rId4"/>
    <sheet name="competences STID" sheetId="11" state="hidden" r:id="rId5"/>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5" i="7" l="1"/>
  <c r="D54" i="7"/>
  <c r="D53" i="7"/>
  <c r="D52" i="7"/>
  <c r="D51" i="7"/>
  <c r="D50" i="7"/>
  <c r="D48" i="7"/>
  <c r="D47" i="7"/>
  <c r="D46" i="7"/>
  <c r="D45" i="7"/>
  <c r="D44" i="7"/>
  <c r="D43" i="7"/>
  <c r="D42" i="7"/>
  <c r="D41" i="7"/>
  <c r="D40" i="7"/>
  <c r="D39" i="7"/>
  <c r="D37" i="7"/>
  <c r="D36" i="7"/>
  <c r="D35" i="7"/>
  <c r="D34" i="7"/>
  <c r="D33" i="7"/>
  <c r="D32" i="7"/>
  <c r="D31" i="7"/>
  <c r="D30" i="7"/>
  <c r="D29" i="7"/>
  <c r="D25" i="7"/>
  <c r="D24" i="7"/>
  <c r="D23" i="7"/>
  <c r="D22" i="7"/>
  <c r="D21" i="7"/>
  <c r="D20" i="7"/>
  <c r="D19" i="7"/>
  <c r="D17" i="7"/>
  <c r="D16" i="7"/>
  <c r="D15" i="7"/>
  <c r="D14" i="7"/>
  <c r="D13" i="7"/>
  <c r="D11" i="7"/>
  <c r="D10" i="7"/>
  <c r="D9" i="7"/>
  <c r="D8" i="7"/>
  <c r="D7" i="7"/>
  <c r="D6" i="7"/>
  <c r="H29" i="12"/>
  <c r="H11" i="12"/>
  <c r="H31" i="12"/>
  <c r="H8" i="12"/>
  <c r="H9" i="12"/>
  <c r="H10" i="12"/>
  <c r="H12" i="12"/>
  <c r="H13" i="12"/>
  <c r="H14" i="12"/>
  <c r="H15" i="12"/>
  <c r="H16" i="12"/>
  <c r="H17" i="12"/>
  <c r="H18" i="12"/>
  <c r="H19" i="12"/>
  <c r="H20" i="12"/>
  <c r="H21" i="12"/>
  <c r="H22" i="12"/>
  <c r="H23" i="12"/>
  <c r="H24" i="12"/>
  <c r="H25" i="12"/>
  <c r="H26" i="12"/>
  <c r="H27" i="12"/>
  <c r="H28" i="12"/>
  <c r="H30" i="12"/>
  <c r="H32" i="12"/>
  <c r="H33" i="12"/>
  <c r="H34" i="12"/>
  <c r="H35" i="12"/>
  <c r="H36" i="12"/>
  <c r="H37" i="12"/>
  <c r="H38" i="12"/>
  <c r="H39" i="12"/>
  <c r="H40" i="12"/>
  <c r="H41" i="12"/>
  <c r="D56" i="7" s="1"/>
  <c r="H42" i="12"/>
  <c r="D57" i="7" s="1"/>
  <c r="H42" i="15" l="1"/>
  <c r="H41" i="15"/>
  <c r="H40" i="15"/>
  <c r="H39" i="15"/>
  <c r="H38" i="15"/>
  <c r="H37" i="15"/>
  <c r="H36" i="15"/>
  <c r="H35" i="15"/>
  <c r="H34" i="15"/>
  <c r="H33" i="15"/>
  <c r="H32" i="15"/>
  <c r="H31" i="15"/>
  <c r="H30" i="15"/>
  <c r="H29" i="15"/>
  <c r="H28" i="15"/>
  <c r="H27" i="15"/>
  <c r="H26" i="15"/>
  <c r="H25" i="15"/>
  <c r="H24" i="15"/>
  <c r="H23" i="15"/>
  <c r="H22" i="15"/>
  <c r="H21" i="15"/>
  <c r="H20" i="15"/>
  <c r="H19" i="15"/>
  <c r="H18" i="15"/>
  <c r="H17" i="15"/>
  <c r="H16" i="15"/>
  <c r="H15" i="15"/>
  <c r="H14" i="15"/>
  <c r="H13" i="15"/>
  <c r="H12" i="15"/>
  <c r="H11" i="15"/>
  <c r="H10" i="15"/>
  <c r="H9" i="15"/>
  <c r="H8" i="15"/>
  <c r="E57" i="7" l="1" a="1"/>
  <c r="E57" i="7" s="1"/>
  <c r="E55" i="7" a="1"/>
  <c r="E55" i="7" s="1"/>
  <c r="E54" i="7" a="1"/>
  <c r="E54" i="7" s="1"/>
  <c r="E53" i="7" a="1"/>
  <c r="E53" i="7" s="1"/>
  <c r="E52" i="7" a="1"/>
  <c r="E52" i="7" s="1"/>
  <c r="E51" i="7" a="1"/>
  <c r="E51" i="7" s="1"/>
  <c r="E50" i="7" a="1"/>
  <c r="E50" i="7" s="1"/>
  <c r="E48" i="7" a="1"/>
  <c r="E48" i="7" s="1"/>
  <c r="E47" i="7" a="1"/>
  <c r="E47" i="7" s="1"/>
  <c r="E46" i="7" a="1"/>
  <c r="E46" i="7" s="1"/>
  <c r="E45" i="7" a="1"/>
  <c r="E45" i="7" s="1"/>
  <c r="E44" i="7" a="1"/>
  <c r="E44" i="7" s="1"/>
  <c r="E43" i="7" a="1"/>
  <c r="E43" i="7" s="1"/>
  <c r="E42" i="7" a="1"/>
  <c r="E42" i="7" s="1"/>
  <c r="E41" i="7" a="1"/>
  <c r="E41" i="7" s="1"/>
  <c r="E39" i="7" a="1"/>
  <c r="E39" i="7" s="1"/>
  <c r="E37" i="7" a="1"/>
  <c r="E37" i="7" s="1"/>
  <c r="E36" i="7" a="1"/>
  <c r="E36" i="7" s="1"/>
  <c r="E35" i="7" a="1"/>
  <c r="E35" i="7" s="1"/>
  <c r="E34" i="7" a="1"/>
  <c r="E34" i="7" s="1"/>
  <c r="E33" i="7" a="1"/>
  <c r="E33" i="7" s="1"/>
  <c r="E32" i="7" a="1"/>
  <c r="E32" i="7" s="1"/>
  <c r="E31" i="7" a="1"/>
  <c r="E31" i="7" s="1"/>
  <c r="E30" i="7" a="1"/>
  <c r="E30" i="7" s="1"/>
  <c r="E25" i="7" a="1"/>
  <c r="E25" i="7" s="1"/>
  <c r="E24" i="7" a="1"/>
  <c r="E24" i="7" s="1"/>
  <c r="E23" i="7" a="1"/>
  <c r="E23" i="7" s="1"/>
  <c r="E22" i="7" a="1"/>
  <c r="E22" i="7" s="1"/>
  <c r="E21" i="7" a="1"/>
  <c r="E21" i="7" s="1"/>
  <c r="E20" i="7" a="1"/>
  <c r="E20" i="7" s="1"/>
  <c r="E17" i="7" a="1"/>
  <c r="E17" i="7" s="1"/>
  <c r="E14" i="7" a="1"/>
  <c r="E14" i="7" s="1"/>
  <c r="E11" i="7" a="1"/>
  <c r="E11" i="7" s="1"/>
  <c r="E10" i="7" a="1"/>
  <c r="E10" i="7" s="1"/>
  <c r="E8" i="7" a="1"/>
  <c r="E8" i="7" s="1"/>
  <c r="E7" i="7" a="1"/>
  <c r="E7" i="7" s="1"/>
  <c r="I13" i="7" l="1"/>
  <c r="I6" i="7"/>
  <c r="E29" i="7" a="1"/>
  <c r="E29" i="7" s="1"/>
  <c r="I29" i="7"/>
  <c r="I19" i="7"/>
  <c r="E15" i="7" a="1"/>
  <c r="E15" i="7" s="1"/>
  <c r="E40" i="7" a="1"/>
  <c r="E40" i="7" s="1"/>
  <c r="I39" i="7"/>
  <c r="E56" i="7" a="1"/>
  <c r="E56" i="7" s="1"/>
  <c r="I50" i="7"/>
  <c r="E19" i="7" a="1"/>
  <c r="E19" i="7" s="1"/>
  <c r="E16" i="7" a="1"/>
  <c r="E16" i="7" s="1"/>
  <c r="E9" i="7" a="1"/>
  <c r="E9" i="7" s="1"/>
  <c r="E13" i="7" a="1"/>
  <c r="E13" i="7" s="1"/>
  <c r="E6" i="7" a="1"/>
  <c r="E6" i="7" s="1"/>
  <c r="Q23" i="7" l="1"/>
  <c r="S23" i="7" s="1"/>
  <c r="Q13" i="7"/>
  <c r="S13" i="7" s="1"/>
  <c r="Q32" i="7"/>
  <c r="S32" i="7" s="1"/>
  <c r="N44" i="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<sst xmlns="http://schemas.openxmlformats.org/spreadsheetml/2006/main" count="257" uniqueCount="89">
  <si>
    <t>Semestre 1</t>
  </si>
  <si>
    <t>Moyenne par ressource</t>
  </si>
  <si>
    <t>Moyenne Semestrielle par compétence</t>
  </si>
  <si>
    <t>Compétence 1 :
Traiter des données à des fins décisionnelles</t>
  </si>
  <si>
    <t>Tableur et Reporting</t>
  </si>
  <si>
    <t>Bases de données relationnelles 1</t>
  </si>
  <si>
    <t>Bases de la programmation 1</t>
  </si>
  <si>
    <t>PPP1</t>
  </si>
  <si>
    <t xml:space="preserve">SAÉ - Reporting à partir de données stockées dans un SGBD relationnel </t>
  </si>
  <si>
    <t>SAÉ - Écriture et lecture de fichiers de données</t>
  </si>
  <si>
    <t>Compétence 2 :
Analyser statistiquement les données</t>
  </si>
  <si>
    <t>Statistique descriptive 1</t>
  </si>
  <si>
    <t>Probabilités 1</t>
  </si>
  <si>
    <t>Mathématiques - analyse</t>
  </si>
  <si>
    <t>SAÉ - Préparation et synthèse d'un tableau de données en vue d'une analyse exploratoire simple</t>
  </si>
  <si>
    <t>Compétence 3 :
Valoriser une production dans un contexte professionnel</t>
  </si>
  <si>
    <t>Initiation à l'anglais de spécialité</t>
  </si>
  <si>
    <t>Communication de l'information et recherche documentaire</t>
  </si>
  <si>
    <t xml:space="preserve">Découverte des données de l’environnement entrepreneurial et économique </t>
  </si>
  <si>
    <t>SAÉ - Apprendre en situation la production de données en entreprise</t>
  </si>
  <si>
    <t>SAÉ - Présentation en anglais d'un territoire économique et culturel</t>
  </si>
  <si>
    <t>SAÉ - Mise en oeuvre d'une enquête</t>
  </si>
  <si>
    <t>Semestre 2</t>
  </si>
  <si>
    <t>Reporting et datavisualisation</t>
  </si>
  <si>
    <t>Bases de données relationnelles 2</t>
  </si>
  <si>
    <t>Bases de la programmation 2</t>
  </si>
  <si>
    <t>Programmation statistique</t>
  </si>
  <si>
    <t>PPP2</t>
  </si>
  <si>
    <t>SAÉ - Conception et implémentation d'une base de données</t>
  </si>
  <si>
    <t>SAÉ - Datavisualisation</t>
  </si>
  <si>
    <t>SAÉ - Analyse de données, reporting et datavisualisation</t>
  </si>
  <si>
    <t>SAÉ - Portfolio</t>
  </si>
  <si>
    <t>Statistique descriptive 2</t>
  </si>
  <si>
    <t>Probabilités 2</t>
  </si>
  <si>
    <t>Bases de l'algèbre</t>
  </si>
  <si>
    <t>Statistique inférentielle</t>
  </si>
  <si>
    <t>SAÉ - Estimation par échantillonnage</t>
  </si>
  <si>
    <t>Passage en seconde année</t>
  </si>
  <si>
    <t>SAÉ - Régression sur des données réelles</t>
  </si>
  <si>
    <t>Approfondissement de l'anglais de spécialité</t>
  </si>
  <si>
    <t>Communication et sémiologie</t>
  </si>
  <si>
    <t>Étude des données de l'environnement entrepreneurial et économique</t>
  </si>
  <si>
    <t>SAÉ - Construction et présentation d'indicateurs de performance</t>
  </si>
  <si>
    <t>Semestre</t>
  </si>
  <si>
    <t>Compétence</t>
  </si>
  <si>
    <t>Ressource</t>
  </si>
  <si>
    <t>Note</t>
  </si>
  <si>
    <t>Traiter des données à des fins décisionnelles</t>
  </si>
  <si>
    <t>Analyser statistiquement les données</t>
  </si>
  <si>
    <t>Valoriser une production dans un contexte professionnel</t>
  </si>
  <si>
    <t>Multi-Compétence</t>
  </si>
  <si>
    <t xml:space="preserve"> </t>
  </si>
  <si>
    <t>Nom de la Ressource</t>
  </si>
  <si>
    <t>Dernière note saisie</t>
  </si>
  <si>
    <t>Modifier les notes que vous souhaitez :</t>
  </si>
  <si>
    <t xml:space="preserve">Moyenne annuelle </t>
  </si>
  <si>
    <t xml:space="preserve">Niveau de compétence </t>
  </si>
  <si>
    <t>RECAPITULATIF DES NOTES</t>
  </si>
  <si>
    <t>Niveau annuel par compétence</t>
  </si>
  <si>
    <t>Dernière Note</t>
  </si>
  <si>
    <t>Coefficient</t>
  </si>
  <si>
    <t>Objectif</t>
  </si>
  <si>
    <t>Notes</t>
  </si>
  <si>
    <r>
      <rPr>
        <b/>
        <sz val="14"/>
        <color theme="1"/>
        <rFont val="Calibri"/>
        <family val="2"/>
        <scheme val="minor"/>
      </rPr>
      <t>Comparaison entre l'</t>
    </r>
    <r>
      <rPr>
        <b/>
        <sz val="14"/>
        <color theme="6"/>
        <rFont val="Calibri"/>
        <family val="2"/>
        <scheme val="minor"/>
      </rPr>
      <t xml:space="preserve">objectif </t>
    </r>
    <r>
      <rPr>
        <b/>
        <sz val="14"/>
        <color theme="1"/>
        <rFont val="Calibri"/>
        <family val="2"/>
        <scheme val="minor"/>
      </rPr>
      <t>et les</t>
    </r>
    <r>
      <rPr>
        <b/>
        <sz val="14"/>
        <color theme="6"/>
        <rFont val="Calibri"/>
        <family val="2"/>
        <scheme val="minor"/>
      </rPr>
      <t xml:space="preserve"> </t>
    </r>
    <r>
      <rPr>
        <b/>
        <sz val="14"/>
        <color rgb="FF0070C0"/>
        <rFont val="Calibri"/>
        <family val="2"/>
        <scheme val="minor"/>
      </rPr>
      <t>moyennes obtenues</t>
    </r>
  </si>
  <si>
    <t>-</t>
  </si>
  <si>
    <t>Outil personnel de gestion des notes des semestres 1 et 2</t>
  </si>
  <si>
    <t>Cette application vous permettra de suivre vos notes et votre niveau dans chaque compétence.</t>
  </si>
  <si>
    <t>Guide d'utilisation de la feuille "Tableau de bord":</t>
  </si>
  <si>
    <r>
      <t>Grâce au bouton "</t>
    </r>
    <r>
      <rPr>
        <sz val="11"/>
        <color rgb="FF722811"/>
        <rFont val="Calibri"/>
        <family val="2"/>
        <scheme val="minor"/>
      </rPr>
      <t>ajouter une note</t>
    </r>
    <r>
      <rPr>
        <sz val="11"/>
        <color rgb="FF000000"/>
        <rFont val="Calibri"/>
        <family val="2"/>
        <scheme val="minor"/>
      </rPr>
      <t>", vous pouvez ajouter vos notes selon le semestre, le bloc de compétence et la ressource.</t>
    </r>
  </si>
  <si>
    <t>Vous ne devez faire aucun calculs au préalable! entrez vos notes avec le maximum que vous aurez pu avoir et NoteApp se chargera de la mettre sur 20.</t>
  </si>
  <si>
    <t xml:space="preserve">Toutes les moyennes présentes dans l'application sont sur 20.  </t>
  </si>
  <si>
    <t>Vous avez la possibilité de renseigner plusieurs notes à la fois.</t>
  </si>
  <si>
    <r>
      <t>Ces notes seront automatiquement ajoutées à la feuille "</t>
    </r>
    <r>
      <rPr>
        <b/>
        <sz val="11"/>
        <color rgb="FF000000"/>
        <rFont val="Calibri"/>
        <family val="2"/>
        <scheme val="minor"/>
      </rPr>
      <t>BDD</t>
    </r>
    <r>
      <rPr>
        <sz val="11"/>
        <color rgb="FF000000"/>
        <rFont val="Calibri"/>
        <family val="2"/>
        <scheme val="minor"/>
      </rPr>
      <t>", où vous pourrez retrouver toutes les notes saisies sur NoteApp.</t>
    </r>
  </si>
  <si>
    <r>
      <t>Grâce au bouton "</t>
    </r>
    <r>
      <rPr>
        <sz val="11"/>
        <color rgb="FF722811"/>
        <rFont val="Calibri"/>
        <family val="2"/>
        <scheme val="minor"/>
      </rPr>
      <t>Ajouter un objectif</t>
    </r>
    <r>
      <rPr>
        <sz val="11"/>
        <color rgb="FF000000"/>
        <rFont val="Calibri"/>
        <family val="2"/>
        <scheme val="minor"/>
      </rPr>
      <t xml:space="preserve">", vous avez la possibilité de saisir les moyennes que vous pensiez avoir pour chaque ressource. </t>
    </r>
  </si>
  <si>
    <t>Cela vous permettera de comparer vos espérences avec les moyennes que vous avez obtenu. Vous pouvez directement modifier votre objectif dans la colonne adaptée</t>
  </si>
  <si>
    <r>
      <t>Grâce au bouton "</t>
    </r>
    <r>
      <rPr>
        <sz val="11"/>
        <color rgb="FF722811"/>
        <rFont val="Calibri"/>
        <family val="2"/>
        <scheme val="minor"/>
      </rPr>
      <t>Effacer toutes les notes</t>
    </r>
    <r>
      <rPr>
        <sz val="11"/>
        <color rgb="FF000000"/>
        <rFont val="Calibri"/>
        <family val="2"/>
        <scheme val="minor"/>
      </rPr>
      <t>", vous pouvez rénitialiser le tableau de bord. Toutes les notes entrées seront donc effacées.</t>
    </r>
  </si>
  <si>
    <t xml:space="preserve">Dans la colonne "D", vous trouverez vos moyennes pour chaque ressource. </t>
  </si>
  <si>
    <t>Vous trouverez, à droite de cette colonne, la représentation graphique de ces moyennes pour chaque bloc de compétences et à droite du graphique vous trouverez la moyenne du bloc.</t>
  </si>
  <si>
    <t xml:space="preserve">De la colonne M à la colonne T, vous trouverez un rectangle rouge avec les informations relatives au niveau acquis dans l'année. </t>
  </si>
  <si>
    <t>Par bloc de compétence, vous pouvez voir votre moyenne annuelle et votre niveau de compétence ( égal à 0 si vous avez une moyenne annuelle en dessous de 10 et 1 si vous avez atteint le niveau 1 de la compétence en ayant plus de 10 de moyenne dans le bloc).</t>
  </si>
  <si>
    <t>Vous trouverez aussi le verdict quant à votre passage en deuxième année.</t>
  </si>
  <si>
    <t>Guide d'utilisation de la feuille "BDD":</t>
  </si>
  <si>
    <t xml:space="preserve">Sur cette feuille, vous trouverez une vue d'ensemble de toutes vos notes, rangées par semestre, bloc de compétence et par ressource. </t>
  </si>
  <si>
    <t>La colonne H vous indique la dernière note que vous avez insérée pour chaque ressource. Cette même note est automatiquement ajoutée à la partie jaune du tableau, qui montre toutes les notes saisies pour cette ressource.</t>
  </si>
  <si>
    <t>FAQ:</t>
  </si>
  <si>
    <t>Comment modifier une note?</t>
  </si>
  <si>
    <r>
      <t>Pour modifier une note, vous devez séleccionner, dans la feuille "Tableau de bord", la moyenne dans laquelle vous souhaitez modifier la ou les notes. Vous serez directement redirigés sur la feuille BDD où vous aurez un focus sur toutes les notes de la ressource. Modifiez les notes que vous souhaitez et cliquez sur le bouton "</t>
    </r>
    <r>
      <rPr>
        <sz val="11"/>
        <color rgb="FF722811"/>
        <rFont val="Calibri"/>
        <family val="2"/>
        <scheme val="minor"/>
      </rPr>
      <t>Confirmer</t>
    </r>
    <r>
      <rPr>
        <sz val="11"/>
        <color rgb="FF000000"/>
        <rFont val="Calibri"/>
        <family val="2"/>
        <scheme val="minor"/>
      </rPr>
      <t>" pour que noteApp modifie les moyennes du tableau de bord. (vous devez ajouter une note dans une ressource avant de pouvoir modifier les notes de cette ressource)</t>
    </r>
  </si>
  <si>
    <t>Tableau de bord</t>
  </si>
  <si>
    <t>Bienvenue sur NoteApp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</si>
</sst>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i/>
      <sz val="11"/>
      <color theme="1"/>
      <name val="Calibri"/>
      <family val="2"/>
      <scheme val="minor"/>
    </font>
    <font>
      <b/>
      <i/>
      <sz val="11"/>
      <color theme="1"/>
      <name val="Calibri"/>
      <family val="2"/>
      <scheme val="minor"/>
    </font>
    <font>
      <i/>
      <sz val="11"/>
      <name val="Calibri"/>
      <family val="2"/>
      <scheme val="minor"/>
    </font>
    <font>
      <i/>
      <sz val="11"/>
      <color rgb="FF000000"/>
      <name val="Calibri"/>
      <family val="2"/>
      <scheme val="minor"/>
    </font>
    <font>
      <b/>
      <sz val="14"/>
      <color theme="1"/>
      <name val="Calibri"/>
      <family val="2"/>
      <scheme val="minor"/>
    </font>
    <font>
      <b/>
      <sz val="11"/>
      <color theme="1"/>
      <name val="Calibri"/>
      <family val="2"/>
      <scheme val="minor"/>
    </font>
    <font>
      <sz val="8"/>
      <name val="Calibri"/>
      <family val="2"/>
      <scheme val="minor"/>
    </font>
    <font>
      <u/>
      <sz val="11"/>
      <color theme="10"/>
      <name val="Calibri"/>
      <family val="2"/>
      <scheme val="minor"/>
    </font>
    <font>
      <b/>
      <sz val="12"/>
      <color theme="1"/>
      <name val="Calibri"/>
      <family val="2"/>
      <scheme val="minor"/>
    </font>
    <font>
      <b/>
      <sz val="11"/>
      <color rgb="FFFF0000"/>
      <name val="Calibri"/>
      <family val="2"/>
      <scheme val="minor"/>
    </font>
    <font>
      <sz val="11"/>
      <color rgb="FFFF0000"/>
      <name val="Calibri"/>
      <family val="2"/>
      <scheme val="minor"/>
    </font>
    <font>
      <sz val="14"/>
      <color theme="1"/>
      <name val="Calibri"/>
      <family val="2"/>
      <scheme val="minor"/>
    </font>
    <font>
      <b/>
      <sz val="18"/>
      <color theme="1"/>
      <name val="Calibri"/>
      <family val="2"/>
      <scheme val="minor"/>
    </font>
    <font>
      <b/>
      <sz val="22"/>
      <color theme="1"/>
      <name val="Calibri"/>
      <family val="2"/>
      <scheme val="minor"/>
    </font>
    <font>
      <b/>
      <sz val="36"/>
      <color theme="9"/>
      <name val="Calibri"/>
      <family val="2"/>
      <scheme val="minor"/>
    </font>
    <font>
      <sz val="12"/>
      <color theme="1"/>
      <name val="Calibri"/>
      <family val="2"/>
      <scheme val="minor"/>
    </font>
    <font>
      <sz val="11"/>
      <color theme="4" tint="-0.249977111117893"/>
      <name val="Calibri"/>
      <family val="2"/>
      <scheme val="minor"/>
    </font>
    <font>
      <sz val="11"/>
      <color theme="3" tint="-0.249977111117893"/>
      <name val="Calibri"/>
      <family val="2"/>
      <scheme val="minor"/>
    </font>
    <font>
      <sz val="11"/>
      <color theme="8" tint="-0.249977111117893"/>
      <name val="Calibri"/>
      <family val="2"/>
      <scheme val="minor"/>
    </font>
    <font>
      <sz val="11"/>
      <color theme="5" tint="-0.249977111117893"/>
      <name val="Calibri"/>
      <family val="2"/>
      <scheme val="minor"/>
    </font>
    <font>
      <sz val="9"/>
      <color theme="1"/>
      <name val="Calibri"/>
      <family val="2"/>
      <scheme val="minor"/>
    </font>
    <font>
      <b/>
      <sz val="11"/>
      <color theme="6" tint="0.39997558519241921"/>
      <name val="Calibri"/>
      <family val="2"/>
      <scheme val="minor"/>
    </font>
    <font>
      <b/>
      <sz val="14"/>
      <color theme="6"/>
      <name val="Calibri"/>
      <family val="2"/>
      <scheme val="minor"/>
    </font>
    <font>
      <b/>
      <sz val="11"/>
      <color theme="0"/>
      <name val="Calibri"/>
      <family val="2"/>
      <scheme val="minor"/>
    </font>
    <font>
      <sz val="11"/>
      <color theme="0"/>
      <name val="Calibri"/>
      <family val="2"/>
      <scheme val="minor"/>
    </font>
    <font>
      <b/>
      <sz val="24"/>
      <color theme="0"/>
      <name val="Calibri"/>
      <family val="2"/>
      <scheme val="minor"/>
    </font>
    <font>
      <sz val="24"/>
      <color theme="0"/>
      <name val="Calibri"/>
      <family val="2"/>
      <scheme val="minor"/>
    </font>
    <font>
      <b/>
      <sz val="14"/>
      <color rgb="FF0070C0"/>
      <name val="Calibri"/>
      <family val="2"/>
      <scheme val="minor"/>
    </font>
    <font>
      <sz val="28"/>
      <color rgb="FFFF0000"/>
      <name val="Calibri"/>
      <family val="2"/>
      <scheme val="minor"/>
    </font>
    <font>
      <sz val="11"/>
      <color rgb="FF000000"/>
      <name val="Calibri"/>
      <family val="2"/>
      <scheme val="minor"/>
    </font>
    <font>
      <b/>
      <sz val="11"/>
      <color rgb="FF000000"/>
      <name val="Calibri"/>
      <family val="2"/>
      <scheme val="minor"/>
    </font>
    <font>
      <sz val="11"/>
      <color rgb="FF722811"/>
      <name val="Calibri"/>
      <family val="2"/>
      <scheme val="minor"/>
    </font>
    <font>
      <sz val="18"/>
      <color rgb="FFFF0000"/>
      <name val="Calibri"/>
      <family val="2"/>
      <scheme val="minor"/>
    </font>
    <font>
      <sz val="36"/>
      <color theme="0"/>
      <name val="Calibri"/>
      <family val="2"/>
      <scheme val="minor"/>
    </font>
  </fonts>
  <fills count="19">
    <fill>
      <patternFill patternType="none"/>
    </fill>
    <fill>
      <patternFill patternType="gray125"/>
    </fill>
    <fill>
      <patternFill patternType="solid">
        <fgColor theme="0" tint="-0.14999847407452621"/>
        <bgColor indexed="64"/>
      </patternFill>
    </fill>
    <fill>
      <patternFill patternType="solid">
        <fgColor theme="6"/>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7" tint="-0.499984740745262"/>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FFFF00"/>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rgb="FF74100E"/>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rgb="FF000000"/>
      </left>
      <right/>
      <top/>
      <bottom style="thin">
        <color rgb="FF000000"/>
      </bottom>
      <diagonal/>
    </border>
    <border>
      <left style="thin">
        <color rgb="FF000000"/>
      </left>
      <right/>
      <top/>
      <bottom/>
      <diagonal/>
    </border>
    <border>
      <left/>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rgb="FF000000"/>
      </bottom>
      <diagonal/>
    </border>
    <border>
      <left style="thin">
        <color indexed="64"/>
      </left>
      <right/>
      <top/>
      <bottom style="thin">
        <color rgb="FF000000"/>
      </bottom>
      <diagonal/>
    </border>
    <border>
      <left style="thin">
        <color rgb="FF000000"/>
      </left>
      <right style="thin">
        <color rgb="FF000000"/>
      </right>
      <top/>
      <bottom style="thin">
        <color rgb="FF000000"/>
      </bottom>
      <diagonal/>
    </border>
    <border>
      <left style="thin">
        <color indexed="64"/>
      </left>
      <right style="thin">
        <color indexed="64"/>
      </right>
      <top/>
      <bottom style="thin">
        <color indexed="64"/>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thin">
        <color indexed="64"/>
      </left>
      <right/>
      <top style="thin">
        <color indexed="64"/>
      </top>
      <bottom style="thin">
        <color rgb="FF000000"/>
      </bottom>
      <diagonal/>
    </border>
    <border>
      <left style="thin">
        <color rgb="FF000000"/>
      </left>
      <right style="thin">
        <color indexed="64"/>
      </right>
      <top style="thin">
        <color indexed="64"/>
      </top>
      <bottom style="thin">
        <color rgb="FF000000"/>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thin">
        <color indexed="64"/>
      </right>
      <top style="thick">
        <color indexed="64"/>
      </top>
      <bottom style="thin">
        <color indexed="64"/>
      </bottom>
      <diagonal/>
    </border>
    <border>
      <left/>
      <right style="thin">
        <color indexed="64"/>
      </right>
      <top style="thin">
        <color indexed="64"/>
      </top>
      <bottom style="thick">
        <color indexed="64"/>
      </bottom>
      <diagonal/>
    </border>
  </borders>
  <cellStyleXfs count="2">
    <xf numFmtId="0" fontId="0" fillId="0" borderId="0"/>
    <xf numFmtId="0" fontId="8" fillId="0" borderId="0" applyNumberFormat="0" applyFill="0" applyBorder="0" applyAlignment="0" applyProtection="0"/>
  </cellStyleXfs>
  <cellXfs count="217">
    <xf numFmtId="0" fontId="0" fillId="0" borderId="0" xfId="0"/>
    <xf numFmtId="0" fontId="1" fillId="0" borderId="0" xfId="0" applyFont="1"/>
    <xf numFmtId="0" fontId="0" fillId="0" borderId="0" xfId="0" applyAlignment="1">
      <alignment horizontal="center" vertical="center"/>
    </xf>
    <xf numFmtId="0" fontId="1" fillId="0" borderId="0" xfId="0" applyFont="1" applyAlignment="1">
      <alignment vertical="center"/>
    </xf>
    <xf numFmtId="0" fontId="1" fillId="2" borderId="1" xfId="0" applyFont="1" applyFill="1" applyBorder="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2" fillId="0" borderId="0" xfId="0" applyFont="1" applyAlignment="1">
      <alignment horizontal="left" vertical="center" wrapText="1"/>
    </xf>
    <xf numFmtId="0" fontId="1" fillId="4" borderId="2" xfId="0" applyFont="1" applyFill="1" applyBorder="1" applyAlignment="1">
      <alignment vertical="center" wrapText="1"/>
    </xf>
    <xf numFmtId="0" fontId="1" fillId="3" borderId="2" xfId="0" applyFont="1" applyFill="1" applyBorder="1" applyAlignment="1">
      <alignment vertical="center" wrapText="1"/>
    </xf>
    <xf numFmtId="0" fontId="1" fillId="5" borderId="2" xfId="0" applyFont="1" applyFill="1" applyBorder="1" applyAlignment="1">
      <alignment vertical="center"/>
    </xf>
    <xf numFmtId="0" fontId="1" fillId="0" borderId="0" xfId="0" applyFont="1" applyAlignment="1">
      <alignment vertical="center" wrapText="1"/>
    </xf>
    <xf numFmtId="0" fontId="1" fillId="0" borderId="0" xfId="0" applyFont="1" applyAlignment="1">
      <alignment horizontal="center" vertical="center" wrapText="1"/>
    </xf>
    <xf numFmtId="0" fontId="6" fillId="0" borderId="0" xfId="0" applyFont="1"/>
    <xf numFmtId="0" fontId="0" fillId="0" borderId="10" xfId="0" applyBorder="1"/>
    <xf numFmtId="0" fontId="0" fillId="0" borderId="1" xfId="0" applyBorder="1"/>
    <xf numFmtId="0" fontId="0" fillId="0" borderId="0" xfId="0" applyAlignment="1">
      <alignment horizontal="center"/>
    </xf>
    <xf numFmtId="0" fontId="1" fillId="8" borderId="2" xfId="0" applyFont="1" applyFill="1" applyBorder="1" applyAlignment="1">
      <alignment vertical="center"/>
    </xf>
    <xf numFmtId="0" fontId="1" fillId="8" borderId="3" xfId="0" applyFont="1" applyFill="1" applyBorder="1" applyAlignment="1">
      <alignment horizontal="center" vertical="center"/>
    </xf>
    <xf numFmtId="0" fontId="1" fillId="9" borderId="2" xfId="0" applyFont="1" applyFill="1" applyBorder="1" applyAlignment="1">
      <alignment vertical="center" wrapText="1"/>
    </xf>
    <xf numFmtId="0" fontId="1" fillId="9" borderId="3" xfId="0" applyFont="1" applyFill="1" applyBorder="1" applyAlignment="1">
      <alignment horizontal="center" vertical="center" wrapText="1"/>
    </xf>
    <xf numFmtId="0" fontId="1" fillId="10" borderId="2" xfId="0" applyFont="1" applyFill="1" applyBorder="1" applyAlignment="1">
      <alignment vertical="center" wrapText="1"/>
    </xf>
    <xf numFmtId="0" fontId="1" fillId="10" borderId="3" xfId="0" applyFont="1" applyFill="1" applyBorder="1" applyAlignment="1">
      <alignment horizontal="center" vertical="center" wrapText="1"/>
    </xf>
    <xf numFmtId="0" fontId="1" fillId="11" borderId="1" xfId="0" applyFont="1" applyFill="1" applyBorder="1" applyAlignment="1">
      <alignment vertical="center"/>
    </xf>
    <xf numFmtId="0" fontId="1" fillId="8" borderId="3" xfId="0" applyFont="1" applyFill="1" applyBorder="1" applyAlignment="1">
      <alignment vertical="center" wrapText="1"/>
    </xf>
    <xf numFmtId="0" fontId="1" fillId="8" borderId="3" xfId="0" applyFont="1" applyFill="1" applyBorder="1" applyAlignment="1">
      <alignment horizontal="center" vertical="center" wrapText="1"/>
    </xf>
    <xf numFmtId="0" fontId="1" fillId="11" borderId="1" xfId="0" applyFont="1" applyFill="1" applyBorder="1" applyAlignment="1">
      <alignment vertical="center" wrapText="1"/>
    </xf>
    <xf numFmtId="0" fontId="1" fillId="12" borderId="2" xfId="0" applyFont="1" applyFill="1" applyBorder="1" applyAlignment="1">
      <alignment vertical="center" wrapText="1"/>
    </xf>
    <xf numFmtId="0" fontId="1" fillId="12" borderId="3" xfId="0" applyFont="1" applyFill="1" applyBorder="1" applyAlignment="1">
      <alignment horizontal="center" vertical="center" wrapText="1"/>
    </xf>
    <xf numFmtId="0" fontId="2" fillId="0" borderId="0" xfId="0" applyFont="1"/>
    <xf numFmtId="0" fontId="13" fillId="0" borderId="0" xfId="0" applyFont="1"/>
    <xf numFmtId="0" fontId="5" fillId="0" borderId="0" xfId="0" applyFont="1"/>
    <xf numFmtId="0" fontId="2" fillId="0" borderId="0" xfId="0" applyFont="1" applyAlignment="1">
      <alignment vertical="center"/>
    </xf>
    <xf numFmtId="0" fontId="1" fillId="8" borderId="20" xfId="0" applyFont="1" applyFill="1" applyBorder="1" applyAlignment="1">
      <alignment vertical="center"/>
    </xf>
    <xf numFmtId="0" fontId="1" fillId="8" borderId="5" xfId="0" applyFont="1" applyFill="1" applyBorder="1" applyAlignment="1">
      <alignment horizontal="center" vertical="center"/>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0" fillId="0" borderId="23" xfId="0" applyBorder="1"/>
    <xf numFmtId="0" fontId="0" fillId="0" borderId="22" xfId="0" applyBorder="1"/>
    <xf numFmtId="0" fontId="9" fillId="0" borderId="23" xfId="0" applyFont="1"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29" xfId="0" applyBorder="1"/>
    <xf numFmtId="0" fontId="14" fillId="0" borderId="28" xfId="0" applyFont="1" applyBorder="1" applyAlignment="1">
      <alignment horizontal="left"/>
    </xf>
    <xf numFmtId="0" fontId="5" fillId="0" borderId="8" xfId="0" applyFont="1" applyBorder="1" applyAlignment="1">
      <alignment horizontal="center" vertical="center"/>
    </xf>
    <xf numFmtId="0" fontId="1" fillId="8" borderId="31" xfId="0" applyFont="1" applyFill="1" applyBorder="1" applyAlignment="1">
      <alignment horizontal="center" vertical="center" wrapText="1"/>
    </xf>
    <xf numFmtId="0" fontId="16" fillId="0" borderId="0" xfId="0" applyFont="1"/>
    <xf numFmtId="0" fontId="17" fillId="0" borderId="10" xfId="0" applyFont="1" applyBorder="1"/>
    <xf numFmtId="0" fontId="18" fillId="0" borderId="10" xfId="0" applyFont="1" applyBorder="1"/>
    <xf numFmtId="0" fontId="0" fillId="14" borderId="10" xfId="0" applyFill="1" applyBorder="1"/>
    <xf numFmtId="0" fontId="0" fillId="14" borderId="9" xfId="0" applyFill="1" applyBorder="1"/>
    <xf numFmtId="0" fontId="0" fillId="12" borderId="9" xfId="0" applyFill="1" applyBorder="1"/>
    <xf numFmtId="0" fontId="0" fillId="10" borderId="9" xfId="0" applyFill="1" applyBorder="1"/>
    <xf numFmtId="0" fontId="0" fillId="10" borderId="12" xfId="0" applyFill="1" applyBorder="1"/>
    <xf numFmtId="0" fontId="0" fillId="10" borderId="8" xfId="0" applyFill="1" applyBorder="1"/>
    <xf numFmtId="0" fontId="0" fillId="11" borderId="9" xfId="0" applyFill="1" applyBorder="1"/>
    <xf numFmtId="0" fontId="19" fillId="0" borderId="10" xfId="0" applyFont="1" applyBorder="1"/>
    <xf numFmtId="0" fontId="19" fillId="0" borderId="11" xfId="0" applyFont="1" applyBorder="1"/>
    <xf numFmtId="0" fontId="0" fillId="14" borderId="8" xfId="0" applyFill="1" applyBorder="1"/>
    <xf numFmtId="0" fontId="17" fillId="0" borderId="0" xfId="0" applyFont="1"/>
    <xf numFmtId="0" fontId="17" fillId="0" borderId="11" xfId="0" applyFont="1" applyBorder="1"/>
    <xf numFmtId="0" fontId="17" fillId="0" borderId="16" xfId="0" applyFont="1" applyBorder="1"/>
    <xf numFmtId="0" fontId="0" fillId="12" borderId="8" xfId="0" applyFill="1" applyBorder="1"/>
    <xf numFmtId="0" fontId="18" fillId="0" borderId="11" xfId="0" applyFont="1" applyBorder="1"/>
    <xf numFmtId="0" fontId="18" fillId="0" borderId="0" xfId="0" applyFont="1"/>
    <xf numFmtId="0" fontId="18" fillId="0" borderId="16" xfId="0" applyFont="1" applyBorder="1"/>
    <xf numFmtId="0" fontId="20" fillId="0" borderId="10" xfId="0" applyFont="1" applyBorder="1"/>
    <xf numFmtId="0" fontId="20" fillId="0" borderId="11" xfId="0" applyFont="1" applyBorder="1"/>
    <xf numFmtId="0" fontId="20" fillId="0" borderId="0" xfId="0" applyFont="1"/>
    <xf numFmtId="0" fontId="20" fillId="0" borderId="16" xfId="0" applyFont="1" applyBorder="1"/>
    <xf numFmtId="0" fontId="20" fillId="0" borderId="7" xfId="0" applyFont="1" applyBorder="1"/>
    <xf numFmtId="0" fontId="0" fillId="11" borderId="12" xfId="0" applyFill="1" applyBorder="1"/>
    <xf numFmtId="0" fontId="19" fillId="0" borderId="7" xfId="0" applyFont="1" applyBorder="1"/>
    <xf numFmtId="0" fontId="19" fillId="0" borderId="17" xfId="0" applyFont="1" applyBorder="1"/>
    <xf numFmtId="0" fontId="0" fillId="14" borderId="32" xfId="0" applyFill="1" applyBorder="1"/>
    <xf numFmtId="0" fontId="17" fillId="0" borderId="33" xfId="0" applyFont="1" applyBorder="1"/>
    <xf numFmtId="0" fontId="0" fillId="0" borderId="7" xfId="0" applyBorder="1" applyAlignment="1">
      <alignment horizontal="left" vertical="center"/>
    </xf>
    <xf numFmtId="0" fontId="12" fillId="15" borderId="8" xfId="0" applyFont="1" applyFill="1" applyBorder="1" applyAlignment="1">
      <alignment horizontal="center" wrapText="1"/>
    </xf>
    <xf numFmtId="0" fontId="0" fillId="16" borderId="1" xfId="0" applyFill="1" applyBorder="1"/>
    <xf numFmtId="0" fontId="0" fillId="16" borderId="34" xfId="0" applyFill="1" applyBorder="1"/>
    <xf numFmtId="0" fontId="0" fillId="16" borderId="21" xfId="0" applyFill="1" applyBorder="1"/>
    <xf numFmtId="0" fontId="0" fillId="16" borderId="35" xfId="0" applyFill="1" applyBorder="1"/>
    <xf numFmtId="0" fontId="0" fillId="0" borderId="12" xfId="0" applyBorder="1"/>
    <xf numFmtId="0" fontId="0" fillId="0" borderId="7" xfId="0" applyBorder="1"/>
    <xf numFmtId="0" fontId="0" fillId="0" borderId="15" xfId="0" applyBorder="1"/>
    <xf numFmtId="0" fontId="0" fillId="0" borderId="9" xfId="0" applyBorder="1"/>
    <xf numFmtId="0" fontId="21" fillId="0" borderId="11" xfId="0" applyFont="1" applyBorder="1"/>
    <xf numFmtId="0" fontId="0" fillId="0" borderId="8" xfId="0" applyBorder="1"/>
    <xf numFmtId="0" fontId="19" fillId="0" borderId="36" xfId="0" applyFont="1" applyBorder="1"/>
    <xf numFmtId="3" fontId="0" fillId="0" borderId="0" xfId="0" applyNumberFormat="1"/>
    <xf numFmtId="2" fontId="22" fillId="7" borderId="1" xfId="0" applyNumberFormat="1" applyFont="1" applyFill="1" applyBorder="1" applyAlignment="1">
      <alignment horizontal="center" vertical="center" wrapText="1"/>
    </xf>
    <xf numFmtId="0" fontId="22" fillId="7" borderId="1" xfId="0" applyFont="1" applyFill="1" applyBorder="1" applyAlignment="1">
      <alignment horizontal="center" vertical="center" wrapText="1"/>
    </xf>
    <xf numFmtId="0" fontId="5" fillId="0" borderId="0" xfId="0" applyFont="1" applyAlignment="1">
      <alignment horizontal="center" wrapText="1"/>
    </xf>
    <xf numFmtId="0" fontId="0" fillId="0" borderId="14" xfId="0" applyBorder="1"/>
    <xf numFmtId="0" fontId="0" fillId="16" borderId="9" xfId="0" applyFill="1" applyBorder="1"/>
    <xf numFmtId="0" fontId="0" fillId="16" borderId="32" xfId="0" applyFill="1" applyBorder="1"/>
    <xf numFmtId="0" fontId="6" fillId="0" borderId="10" xfId="0" applyFont="1" applyBorder="1" applyAlignment="1">
      <alignment horizontal="center" vertical="center"/>
    </xf>
    <xf numFmtId="0" fontId="0" fillId="15" borderId="11" xfId="0" applyFill="1" applyBorder="1"/>
    <xf numFmtId="0" fontId="17" fillId="0" borderId="7" xfId="0" applyFont="1" applyBorder="1"/>
    <xf numFmtId="0" fontId="0" fillId="16" borderId="17" xfId="0" applyFill="1" applyBorder="1"/>
    <xf numFmtId="0" fontId="0" fillId="15" borderId="1" xfId="0" applyFill="1" applyBorder="1"/>
    <xf numFmtId="0" fontId="0" fillId="15" borderId="17" xfId="0" applyFill="1" applyBorder="1"/>
    <xf numFmtId="0" fontId="0" fillId="15" borderId="21" xfId="0" applyFill="1" applyBorder="1"/>
    <xf numFmtId="0" fontId="0" fillId="15" borderId="34" xfId="0" applyFill="1" applyBorder="1"/>
    <xf numFmtId="0" fontId="0" fillId="16" borderId="12" xfId="0" applyFill="1" applyBorder="1"/>
    <xf numFmtId="0" fontId="0" fillId="0" borderId="16" xfId="0" applyBorder="1"/>
    <xf numFmtId="2" fontId="8" fillId="6" borderId="21" xfId="1" applyNumberFormat="1" applyFill="1" applyBorder="1" applyAlignment="1">
      <alignment horizontal="center"/>
    </xf>
    <xf numFmtId="2" fontId="8" fillId="6" borderId="1" xfId="1" applyNumberFormat="1" applyFill="1" applyBorder="1" applyAlignment="1">
      <alignment horizontal="center"/>
    </xf>
    <xf numFmtId="2" fontId="8" fillId="7" borderId="1" xfId="1" applyNumberFormat="1" applyFill="1" applyBorder="1" applyAlignment="1">
      <alignment horizontal="center"/>
    </xf>
    <xf numFmtId="2" fontId="0" fillId="0" borderId="0" xfId="0" applyNumberFormat="1" applyAlignment="1">
      <alignment horizontal="center"/>
    </xf>
    <xf numFmtId="2" fontId="8" fillId="13" borderId="1" xfId="1" applyNumberFormat="1" applyFill="1" applyBorder="1" applyAlignment="1">
      <alignment horizontal="center"/>
    </xf>
    <xf numFmtId="0" fontId="24" fillId="0" borderId="0" xfId="0" applyFont="1" applyAlignment="1">
      <alignment horizontal="center"/>
    </xf>
    <xf numFmtId="0" fontId="24" fillId="0" borderId="16" xfId="0" applyFont="1" applyBorder="1" applyAlignment="1">
      <alignment horizontal="center"/>
    </xf>
    <xf numFmtId="0" fontId="25" fillId="0" borderId="0" xfId="0" applyFont="1" applyAlignment="1">
      <alignment horizontal="center"/>
    </xf>
    <xf numFmtId="0" fontId="25" fillId="0" borderId="0" xfId="0" applyFont="1"/>
    <xf numFmtId="0" fontId="25" fillId="0" borderId="16" xfId="0" applyFont="1" applyBorder="1" applyAlignment="1">
      <alignment horizontal="center"/>
    </xf>
    <xf numFmtId="0" fontId="23" fillId="0" borderId="1" xfId="0" applyFont="1" applyBorder="1" applyAlignment="1">
      <alignment horizontal="center" vertical="center" wrapText="1"/>
    </xf>
    <xf numFmtId="0" fontId="0" fillId="17" borderId="0" xfId="0" applyFill="1"/>
    <xf numFmtId="0" fontId="30" fillId="17" borderId="0" xfId="0" applyFont="1" applyFill="1" applyAlignment="1">
      <alignment horizontal="left" vertical="center"/>
    </xf>
    <xf numFmtId="0" fontId="31" fillId="17" borderId="0" xfId="0" applyFont="1" applyFill="1" applyAlignment="1">
      <alignment horizontal="left"/>
    </xf>
    <xf numFmtId="0" fontId="0" fillId="17" borderId="0" xfId="0" applyFill="1" applyAlignment="1">
      <alignment horizontal="left"/>
    </xf>
    <xf numFmtId="0" fontId="30" fillId="17" borderId="0" xfId="0" applyFont="1" applyFill="1"/>
    <xf numFmtId="0" fontId="33" fillId="17" borderId="0" xfId="0" applyFont="1" applyFill="1"/>
    <xf numFmtId="0" fontId="31" fillId="17" borderId="0" xfId="0" applyFont="1" applyFill="1"/>
    <xf numFmtId="0" fontId="0" fillId="17" borderId="0" xfId="0" applyFill="1" applyAlignment="1">
      <alignment horizontal="left" vertical="top" wrapText="1" readingOrder="1"/>
    </xf>
    <xf numFmtId="0" fontId="0" fillId="17" borderId="0" xfId="0" applyFill="1" applyAlignment="1">
      <alignment horizontal="left" vertical="top" readingOrder="1"/>
    </xf>
    <xf numFmtId="0" fontId="30" fillId="17" borderId="0" xfId="0" applyFont="1" applyFill="1" applyAlignment="1">
      <alignment horizontal="left" vertical="center" wrapText="1" readingOrder="1"/>
    </xf>
    <xf numFmtId="0" fontId="0" fillId="0" borderId="0" xfId="0" applyAlignment="1">
      <alignment horizontal="left" vertical="center" wrapText="1" readingOrder="1"/>
    </xf>
    <xf numFmtId="0" fontId="0" fillId="0" borderId="0" xfId="0" applyAlignment="1">
      <alignment horizontal="left" vertical="center" readingOrder="1"/>
    </xf>
    <xf numFmtId="0" fontId="0" fillId="0" borderId="0" xfId="0" applyAlignment="1">
      <alignment horizontal="left" vertical="center"/>
    </xf>
    <xf numFmtId="0" fontId="29" fillId="17" borderId="0" xfId="0" applyFont="1" applyFill="1" applyAlignment="1">
      <alignment horizontal="center" vertical="center"/>
    </xf>
    <xf numFmtId="0" fontId="0" fillId="17" borderId="0" xfId="0" applyFill="1" applyAlignment="1">
      <alignment horizontal="center" vertical="center"/>
    </xf>
    <xf numFmtId="0" fontId="0" fillId="0" borderId="0" xfId="0" applyAlignment="1">
      <alignment horizontal="center" vertical="center"/>
    </xf>
    <xf numFmtId="0" fontId="0" fillId="0" borderId="0" xfId="0"/>
    <xf numFmtId="0" fontId="34" fillId="18" borderId="0" xfId="0" applyFont="1" applyFill="1" applyAlignment="1">
      <alignment horizontal="center" vertical="center"/>
    </xf>
    <xf numFmtId="0" fontId="34" fillId="18" borderId="7" xfId="0" applyFont="1" applyFill="1" applyBorder="1" applyAlignment="1">
      <alignment horizontal="center" vertical="center"/>
    </xf>
    <xf numFmtId="0" fontId="5" fillId="0" borderId="7" xfId="0" applyFont="1" applyBorder="1" applyAlignment="1">
      <alignment horizontal="center"/>
    </xf>
    <xf numFmtId="0" fontId="2" fillId="0" borderId="1" xfId="0" applyFont="1" applyBorder="1" applyAlignment="1">
      <alignment horizontal="center" vertical="center" wrapText="1"/>
    </xf>
    <xf numFmtId="0" fontId="5" fillId="0" borderId="1" xfId="0" applyFont="1" applyBorder="1" applyAlignment="1">
      <alignment horizontal="center" vertical="center"/>
    </xf>
    <xf numFmtId="0" fontId="0" fillId="0" borderId="1" xfId="0" applyBorder="1" applyAlignment="1">
      <alignment horizontal="center" vertical="center"/>
    </xf>
    <xf numFmtId="0" fontId="2" fillId="9" borderId="4" xfId="0" applyFont="1" applyFill="1" applyBorder="1" applyAlignment="1">
      <alignment horizontal="left" vertical="center" wrapText="1"/>
    </xf>
    <xf numFmtId="0" fontId="2" fillId="9" borderId="6" xfId="0" applyFont="1" applyFill="1" applyBorder="1" applyAlignment="1">
      <alignment horizontal="left" vertical="center" wrapText="1"/>
    </xf>
    <xf numFmtId="0" fontId="2" fillId="9" borderId="5" xfId="0" applyFont="1" applyFill="1" applyBorder="1" applyAlignment="1">
      <alignment horizontal="left" vertical="center" wrapText="1"/>
    </xf>
    <xf numFmtId="0" fontId="2" fillId="10" borderId="4" xfId="0" applyFont="1" applyFill="1" applyBorder="1" applyAlignment="1">
      <alignment horizontal="left" vertical="center" wrapText="1"/>
    </xf>
    <xf numFmtId="0" fontId="2" fillId="10" borderId="6" xfId="0" applyFont="1" applyFill="1" applyBorder="1" applyAlignment="1">
      <alignment horizontal="left" vertical="center" wrapText="1"/>
    </xf>
    <xf numFmtId="0" fontId="2" fillId="10" borderId="5" xfId="0" applyFont="1" applyFill="1" applyBorder="1" applyAlignment="1">
      <alignment horizontal="left" vertical="center" wrapText="1"/>
    </xf>
    <xf numFmtId="0" fontId="2" fillId="8" borderId="4" xfId="0" applyFont="1" applyFill="1" applyBorder="1" applyAlignment="1">
      <alignment horizontal="left" vertical="center" wrapText="1"/>
    </xf>
    <xf numFmtId="0" fontId="2" fillId="8" borderId="6" xfId="0" applyFont="1" applyFill="1" applyBorder="1" applyAlignment="1">
      <alignment horizontal="left" vertical="center" wrapText="1"/>
    </xf>
    <xf numFmtId="0" fontId="2" fillId="8" borderId="5" xfId="0" applyFont="1" applyFill="1" applyBorder="1" applyAlignment="1">
      <alignment horizontal="left" vertical="center" wrapText="1"/>
    </xf>
    <xf numFmtId="0" fontId="10" fillId="0" borderId="13"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12" xfId="0" applyBorder="1" applyAlignment="1">
      <alignment wrapText="1"/>
    </xf>
    <xf numFmtId="0" fontId="0" fillId="0" borderId="7" xfId="0" applyBorder="1" applyAlignment="1">
      <alignment wrapText="1"/>
    </xf>
    <xf numFmtId="0" fontId="0" fillId="0" borderId="17" xfId="0" applyBorder="1" applyAlignment="1">
      <alignment wrapText="1"/>
    </xf>
    <xf numFmtId="0" fontId="6" fillId="0" borderId="13" xfId="0" applyFont="1"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2" xfId="0" applyBorder="1"/>
    <xf numFmtId="0" fontId="0" fillId="0" borderId="7" xfId="0" applyBorder="1"/>
    <xf numFmtId="0" fontId="0" fillId="0" borderId="17" xfId="0" applyBorder="1"/>
    <xf numFmtId="0" fontId="2" fillId="12" borderId="13" xfId="0" applyFont="1" applyFill="1" applyBorder="1" applyAlignment="1">
      <alignment horizontal="left" vertical="center" wrapText="1"/>
    </xf>
    <xf numFmtId="0" fontId="0" fillId="0" borderId="14" xfId="0" applyBorder="1" applyAlignment="1">
      <alignment wrapText="1"/>
    </xf>
    <xf numFmtId="0" fontId="0" fillId="0" borderId="15" xfId="0" applyBorder="1" applyAlignment="1">
      <alignment wrapText="1"/>
    </xf>
    <xf numFmtId="0" fontId="2" fillId="12" borderId="8" xfId="0" applyFont="1" applyFill="1" applyBorder="1" applyAlignment="1">
      <alignment horizontal="left" vertical="center" wrapText="1"/>
    </xf>
    <xf numFmtId="0" fontId="0" fillId="0" borderId="0" xfId="0" applyAlignment="1">
      <alignment wrapText="1"/>
    </xf>
    <xf numFmtId="0" fontId="0" fillId="0" borderId="16" xfId="0" applyBorder="1" applyAlignment="1">
      <alignment wrapText="1"/>
    </xf>
    <xf numFmtId="0" fontId="2" fillId="12" borderId="12" xfId="0" applyFont="1" applyFill="1" applyBorder="1" applyAlignment="1">
      <alignment horizontal="left" vertical="center" wrapText="1"/>
    </xf>
    <xf numFmtId="0" fontId="2" fillId="8" borderId="13" xfId="0" applyFont="1" applyFill="1" applyBorder="1" applyAlignment="1">
      <alignment horizontal="left" vertical="center" wrapText="1"/>
    </xf>
    <xf numFmtId="0" fontId="0" fillId="0" borderId="14" xfId="0" applyBorder="1"/>
    <xf numFmtId="0" fontId="0" fillId="0" borderId="15" xfId="0" applyBorder="1"/>
    <xf numFmtId="0" fontId="2" fillId="8" borderId="8" xfId="0" applyFont="1" applyFill="1" applyBorder="1" applyAlignment="1">
      <alignment horizontal="left" vertical="center" wrapText="1"/>
    </xf>
    <xf numFmtId="0" fontId="0" fillId="0" borderId="16" xfId="0" applyBorder="1"/>
    <xf numFmtId="0" fontId="2" fillId="8" borderId="12" xfId="0" applyFont="1" applyFill="1" applyBorder="1" applyAlignment="1">
      <alignment horizontal="left" vertical="center" wrapText="1"/>
    </xf>
    <xf numFmtId="2" fontId="2" fillId="0" borderId="13" xfId="0" applyNumberFormat="1" applyFont="1" applyBorder="1" applyAlignment="1">
      <alignment horizontal="center" vertical="center"/>
    </xf>
    <xf numFmtId="2" fontId="0" fillId="0" borderId="15" xfId="0" applyNumberFormat="1" applyBorder="1"/>
    <xf numFmtId="2" fontId="2" fillId="0" borderId="8" xfId="0" applyNumberFormat="1" applyFont="1" applyBorder="1" applyAlignment="1">
      <alignment horizontal="center" vertical="center"/>
    </xf>
    <xf numFmtId="2" fontId="0" fillId="0" borderId="16" xfId="0" applyNumberFormat="1" applyBorder="1"/>
    <xf numFmtId="2" fontId="2" fillId="0" borderId="12" xfId="0" applyNumberFormat="1" applyFont="1" applyBorder="1" applyAlignment="1">
      <alignment horizontal="center" vertical="center"/>
    </xf>
    <xf numFmtId="2" fontId="0" fillId="0" borderId="17" xfId="0" applyNumberFormat="1" applyBorder="1"/>
    <xf numFmtId="0" fontId="2" fillId="10" borderId="13" xfId="0" applyFont="1" applyFill="1" applyBorder="1" applyAlignment="1">
      <alignment horizontal="left" vertical="center" wrapText="1"/>
    </xf>
    <xf numFmtId="0" fontId="2" fillId="10" borderId="8" xfId="0" applyFont="1" applyFill="1" applyBorder="1" applyAlignment="1">
      <alignment horizontal="left" vertical="center" wrapText="1"/>
    </xf>
    <xf numFmtId="0" fontId="2" fillId="10" borderId="12" xfId="0" applyFont="1" applyFill="1" applyBorder="1" applyAlignment="1">
      <alignment horizontal="left" vertical="center" wrapText="1"/>
    </xf>
    <xf numFmtId="2" fontId="0" fillId="0" borderId="15" xfId="0" applyNumberFormat="1" applyBorder="1" applyAlignment="1">
      <alignment horizontal="center" vertical="center"/>
    </xf>
    <xf numFmtId="2" fontId="0" fillId="0" borderId="16" xfId="0" applyNumberFormat="1" applyBorder="1" applyAlignment="1">
      <alignment horizontal="center" vertical="center"/>
    </xf>
    <xf numFmtId="2" fontId="0" fillId="0" borderId="17" xfId="0" applyNumberFormat="1" applyBorder="1" applyAlignment="1">
      <alignment horizontal="center" vertical="center"/>
    </xf>
    <xf numFmtId="2" fontId="0" fillId="0" borderId="12" xfId="0" applyNumberFormat="1" applyBorder="1"/>
    <xf numFmtId="2" fontId="2" fillId="10" borderId="4" xfId="0" applyNumberFormat="1" applyFont="1" applyFill="1" applyBorder="1" applyAlignment="1">
      <alignment horizontal="center" vertical="center" wrapText="1"/>
    </xf>
    <xf numFmtId="2" fontId="2" fillId="10" borderId="6" xfId="0" applyNumberFormat="1" applyFont="1" applyFill="1" applyBorder="1" applyAlignment="1">
      <alignment horizontal="center" vertical="center" wrapText="1"/>
    </xf>
    <xf numFmtId="2" fontId="2" fillId="10" borderId="5" xfId="0" applyNumberFormat="1" applyFont="1" applyFill="1" applyBorder="1" applyAlignment="1">
      <alignment horizontal="center" vertical="center" wrapText="1"/>
    </xf>
    <xf numFmtId="2" fontId="2" fillId="8" borderId="8" xfId="0" applyNumberFormat="1" applyFont="1" applyFill="1" applyBorder="1" applyAlignment="1">
      <alignment horizontal="center" vertical="center" wrapText="1"/>
    </xf>
    <xf numFmtId="2" fontId="2" fillId="8" borderId="19" xfId="0" applyNumberFormat="1" applyFont="1" applyFill="1" applyBorder="1" applyAlignment="1">
      <alignment horizontal="center" vertical="center" wrapText="1"/>
    </xf>
    <xf numFmtId="2" fontId="2" fillId="9" borderId="4" xfId="0" applyNumberFormat="1" applyFont="1" applyFill="1" applyBorder="1" applyAlignment="1">
      <alignment horizontal="center" vertical="center" wrapText="1"/>
    </xf>
    <xf numFmtId="2" fontId="2" fillId="9" borderId="6" xfId="0" applyNumberFormat="1" applyFont="1" applyFill="1" applyBorder="1" applyAlignment="1">
      <alignment horizontal="center" vertical="center" wrapText="1"/>
    </xf>
    <xf numFmtId="2" fontId="2" fillId="9" borderId="5" xfId="0" applyNumberFormat="1" applyFont="1" applyFill="1" applyBorder="1" applyAlignment="1">
      <alignment horizontal="center" vertical="center" wrapText="1"/>
    </xf>
    <xf numFmtId="0" fontId="5" fillId="0" borderId="18" xfId="0" applyFont="1" applyBorder="1" applyAlignment="1">
      <alignment horizontal="center" vertical="center"/>
    </xf>
    <xf numFmtId="0" fontId="0" fillId="0" borderId="30" xfId="0" applyBorder="1" applyAlignment="1">
      <alignment horizontal="center" vertical="center"/>
    </xf>
    <xf numFmtId="2" fontId="2" fillId="8" borderId="4" xfId="0" applyNumberFormat="1" applyFont="1" applyFill="1" applyBorder="1" applyAlignment="1">
      <alignment horizontal="center" vertical="center" wrapText="1"/>
    </xf>
    <xf numFmtId="2" fontId="2" fillId="8" borderId="6" xfId="0" applyNumberFormat="1" applyFont="1" applyFill="1" applyBorder="1" applyAlignment="1">
      <alignment horizontal="center" vertical="center" wrapText="1"/>
    </xf>
    <xf numFmtId="2" fontId="2" fillId="8" borderId="5" xfId="0" applyNumberFormat="1" applyFont="1" applyFill="1" applyBorder="1" applyAlignment="1">
      <alignment horizontal="center" vertical="center" wrapText="1"/>
    </xf>
    <xf numFmtId="2" fontId="2" fillId="12" borderId="4" xfId="0" applyNumberFormat="1" applyFont="1" applyFill="1" applyBorder="1" applyAlignment="1">
      <alignment horizontal="center" vertical="center" wrapText="1"/>
    </xf>
    <xf numFmtId="2" fontId="2" fillId="12" borderId="6" xfId="0" applyNumberFormat="1" applyFont="1" applyFill="1" applyBorder="1" applyAlignment="1">
      <alignment horizontal="center" vertical="center" wrapText="1"/>
    </xf>
    <xf numFmtId="2" fontId="2" fillId="12" borderId="5" xfId="0" applyNumberFormat="1" applyFont="1" applyFill="1" applyBorder="1" applyAlignment="1">
      <alignment horizontal="center" vertical="center" wrapText="1"/>
    </xf>
    <xf numFmtId="0" fontId="2" fillId="12" borderId="4" xfId="0" applyFont="1" applyFill="1" applyBorder="1" applyAlignment="1">
      <alignment horizontal="left" vertical="center" wrapText="1"/>
    </xf>
    <xf numFmtId="0" fontId="2" fillId="12" borderId="6" xfId="0" applyFont="1" applyFill="1" applyBorder="1" applyAlignment="1">
      <alignment horizontal="left" vertical="center" wrapText="1"/>
    </xf>
    <xf numFmtId="0" fontId="2" fillId="12" borderId="5" xfId="0" applyFont="1" applyFill="1" applyBorder="1" applyAlignment="1">
      <alignment horizontal="left" vertical="center" wrapText="1"/>
    </xf>
    <xf numFmtId="0" fontId="15" fillId="0" borderId="0" xfId="0" applyFont="1" applyAlignment="1">
      <alignment horizontal="center"/>
    </xf>
    <xf numFmtId="0" fontId="26" fillId="0" borderId="0" xfId="0" applyFont="1" applyAlignment="1">
      <alignment horizontal="center"/>
    </xf>
    <xf numFmtId="0" fontId="27" fillId="0" borderId="16" xfId="0" applyFont="1" applyBorder="1" applyAlignment="1">
      <alignment horizontal="center"/>
    </xf>
    <xf numFmtId="0" fontId="10" fillId="0" borderId="0" xfId="0" applyFont="1" applyAlignment="1">
      <alignment horizontal="center"/>
    </xf>
    <xf numFmtId="0" fontId="11" fillId="0" borderId="0" xfId="0" applyFont="1" applyAlignment="1">
      <alignment horizontal="center"/>
    </xf>
    <xf numFmtId="0" fontId="5" fillId="16" borderId="1" xfId="0" applyFont="1" applyFill="1" applyBorder="1" applyAlignment="1">
      <alignment horizontal="center" vertical="center"/>
    </xf>
    <xf numFmtId="0" fontId="12" fillId="16" borderId="1" xfId="0" applyFont="1" applyFill="1" applyBorder="1" applyAlignment="1">
      <alignment horizontal="center" vertical="center"/>
    </xf>
    <xf numFmtId="0" fontId="0" fillId="0" borderId="1" xfId="0" applyBorder="1"/>
  </cellXfs>
  <cellStyles count="2">
    <cellStyle name="Lien hypertexte" xfId="1" builtinId="8"/>
    <cellStyle name="Normal" xfId="0" builtinId="0"/>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74100E"/>
      <color rgb="FF990033"/>
      <color rgb="FF712911"/>
      <color rgb="FFCCECFF"/>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8079514573719403"/>
          <c:y val="0.12784100104969642"/>
          <c:w val="0.27935581712607338"/>
          <c:h val="0.72078383498340681"/>
        </c:manualLayout>
      </c:layout>
      <c:radarChart>
        <c:radarStyle val="marker"/>
        <c:varyColors val="0"/>
        <c:ser>
          <c:idx val="0"/>
          <c:order val="0"/>
          <c:tx>
            <c:v>Moyennes réelles</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'Tableau de bord'!$B$6:$B$11</c:f>
              <c:strCache>
                <c:ptCount val="6"/>
                <c:pt idx="0">
                  <c:v>Tableur et Reporting</c:v>
                </c:pt>
                <c:pt idx="1">
                  <c:v>Bases de données relationnelles 1</c:v>
                </c:pt>
                <c:pt idx="2">
                  <c:v>Bases de la programmation 1</c:v>
                </c:pt>
                <c:pt idx="3">
                  <c:v>PPP1</c:v>
                </c:pt>
                <c:pt idx="4">
                  <c:v>SAÉ - Reporting à partir de données stockées dans un SGBD relationnel </c:v>
                </c:pt>
                <c:pt idx="5">
                  <c:v>SAÉ - Écriture et lecture de fichiers de données</c:v>
                </c:pt>
              </c:strCache>
            </c:strRef>
          </c:cat>
          <c:val>
            <c:numRef>
              <c:f>'Tableau de bord'!$D$6:$D$11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7B53-4259-85BE-B96A46FC837F}"/>
            </c:ext>
          </c:extLst>
        </c:ser>
        <c:ser>
          <c:idx val="1"/>
          <c:order val="1"/>
          <c:tx>
            <c:v>Objectif</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'Tableau de bord'!$B$6:$B$11</c:f>
              <c:strCache>
                <c:ptCount val="6"/>
                <c:pt idx="0">
                  <c:v>Tableur et Reporting</c:v>
                </c:pt>
                <c:pt idx="1">
                  <c:v>Bases de données relationnelles 1</c:v>
                </c:pt>
                <c:pt idx="2">
                  <c:v>Bases de la programmation 1</c:v>
                </c:pt>
                <c:pt idx="3">
                  <c:v>PPP1</c:v>
                </c:pt>
                <c:pt idx="4">
                  <c:v>SAÉ - Reporting à partir de données stockées dans un SGBD relationnel </c:v>
                </c:pt>
                <c:pt idx="5">
                  <c:v>SAÉ - Écriture et lecture de fichiers de données</c:v>
                </c:pt>
              </c:strCache>
            </c:strRef>
          </c:cat>
          <c:val>
            <c:numRef>
              <c:f>'Tableau de bord'!$J$6:$J$11</c:f>
              <c:numCache>
                <c:formatCode>0.00</c:formatCode>
                <c:ptCount val="6"/>
                <c:pt idx="0">
                  <c:v>16.670000076293945</c:v>
                </c:pt>
              </c:numCache>
            </c:numRef>
          </c:val>
          <c:extLst>
            <c:ext xmlns:c16="http://schemas.microsoft.com/office/drawing/2014/chart" uri="{C3380CC4-5D6E-409C-BE32-E72D297353CC}">
              <c16:uniqueId val="{00000001-7B53-4259-85BE-B96A46FC837F}"/>
            </c:ext>
          </c:extLst>
        </c:ser>
        <c:dLbls>
          <c:showLegendKey val="0"/>
          <c:showVal val="0"/>
          <c:showCatName val="0"/>
          <c:showSerName val="0"/>
          <c:showPercent val="0"/>
          <c:showBubbleSize val="0"/>
        </c:dLbls>
        <c:axId val="532286159"/>
        <c:axId val="532281999"/>
      </c:radarChart>
      <c:catAx>
        <c:axId val="532286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32281999"/>
        <c:crosses val="autoZero"/>
        <c:auto val="1"/>
        <c:lblAlgn val="ctr"/>
        <c:lblOffset val="100"/>
        <c:noMultiLvlLbl val="0"/>
      </c:catAx>
      <c:valAx>
        <c:axId val="532281999"/>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tx1">
                <a:lumMod val="15000"/>
                <a:lumOff val="85000"/>
              </a:schemeClr>
            </a:solidFill>
          </a:ln>
          <a:effectLst/>
        </c:spPr>
        <c:txPr>
          <a:bodyPr rot="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32286159"/>
        <c:crosses val="autoZero"/>
        <c:crossBetween val="between"/>
        <c:majorUnit val="5"/>
      </c:valAx>
      <c:spPr>
        <a:noFill/>
        <a:ln>
          <a:noFill/>
        </a:ln>
        <a:effectLst/>
      </c:spPr>
    </c:plotArea>
    <c:legend>
      <c:legendPos val="r"/>
      <c:layout>
        <c:manualLayout>
          <c:xMode val="edge"/>
          <c:yMode val="edge"/>
          <c:x val="0.74190793229212437"/>
          <c:y val="0.76835106205334591"/>
          <c:w val="0.24763455352075478"/>
          <c:h val="0.219717625420786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427319766847326"/>
          <c:y val="6.8120982977932884E-2"/>
          <c:w val="0.27429184988240107"/>
          <c:h val="0.78348360593488175"/>
        </c:manualLayout>
      </c:layout>
      <c:radarChart>
        <c:radarStyle val="marker"/>
        <c:varyColors val="0"/>
        <c:ser>
          <c:idx val="0"/>
          <c:order val="0"/>
          <c:tx>
            <c:v>Moyennes réelles</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'Tableau de bord'!$B$13:$B$17</c:f>
              <c:strCache>
                <c:ptCount val="5"/>
                <c:pt idx="0">
                  <c:v>Statistique descriptive 1</c:v>
                </c:pt>
                <c:pt idx="1">
                  <c:v>Probabilités 1</c:v>
                </c:pt>
                <c:pt idx="2">
                  <c:v>Mathématiques - analyse</c:v>
                </c:pt>
                <c:pt idx="3">
                  <c:v>PPP1</c:v>
                </c:pt>
                <c:pt idx="4">
                  <c:v>SAÉ - Préparation et synthèse d'un tableau de données en vue d'une analyse exploratoire simple</c:v>
                </c:pt>
              </c:strCache>
            </c:strRef>
          </c:cat>
          <c:val>
            <c:numRef>
              <c:f>'Tableau de bord'!$D$13:$D$17</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0BD3-44A0-A93B-60968620BF70}"/>
            </c:ext>
          </c:extLst>
        </c:ser>
        <c:ser>
          <c:idx val="1"/>
          <c:order val="1"/>
          <c:tx>
            <c:v>Objectif</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'Tableau de bord'!$B$13:$B$17</c:f>
              <c:strCache>
                <c:ptCount val="5"/>
                <c:pt idx="0">
                  <c:v>Statistique descriptive 1</c:v>
                </c:pt>
                <c:pt idx="1">
                  <c:v>Probabilités 1</c:v>
                </c:pt>
                <c:pt idx="2">
                  <c:v>Mathématiques - analyse</c:v>
                </c:pt>
                <c:pt idx="3">
                  <c:v>PPP1</c:v>
                </c:pt>
                <c:pt idx="4">
                  <c:v>SAÉ - Préparation et synthèse d'un tableau de données en vue d'une analyse exploratoire simple</c:v>
                </c:pt>
              </c:strCache>
            </c:strRef>
          </c:cat>
          <c:val>
            <c:numRef>
              <c:f>'Tableau de bord'!$J$13:$J$17</c:f>
              <c:numCache>
                <c:formatCode>General</c:formatCode>
                <c:ptCount val="5"/>
              </c:numCache>
            </c:numRef>
          </c:val>
          <c:extLst>
            <c:ext xmlns:c16="http://schemas.microsoft.com/office/drawing/2014/chart" uri="{C3380CC4-5D6E-409C-BE32-E72D297353CC}">
              <c16:uniqueId val="{00000001-0BD3-44A0-A93B-60968620BF70}"/>
            </c:ext>
          </c:extLst>
        </c:ser>
        <c:dLbls>
          <c:showLegendKey val="0"/>
          <c:showVal val="0"/>
          <c:showCatName val="0"/>
          <c:showSerName val="0"/>
          <c:showPercent val="0"/>
          <c:showBubbleSize val="0"/>
        </c:dLbls>
        <c:axId val="914706480"/>
        <c:axId val="914706896"/>
      </c:radarChart>
      <c:catAx>
        <c:axId val="914706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14706896"/>
        <c:crosses val="autoZero"/>
        <c:auto val="1"/>
        <c:lblAlgn val="ctr"/>
        <c:lblOffset val="100"/>
        <c:noMultiLvlLbl val="0"/>
      </c:catAx>
      <c:valAx>
        <c:axId val="914706896"/>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14706480"/>
        <c:crosses val="autoZero"/>
        <c:crossBetween val="between"/>
      </c:valAx>
      <c:spPr>
        <a:noFill/>
        <a:ln>
          <a:noFill/>
        </a:ln>
        <a:effectLst/>
      </c:spPr>
    </c:plotArea>
    <c:legend>
      <c:legendPos val="r"/>
      <c:layout>
        <c:manualLayout>
          <c:xMode val="edge"/>
          <c:yMode val="edge"/>
          <c:x val="0.75397341241435734"/>
          <c:y val="0.69382536754181912"/>
          <c:w val="0.24602658758564269"/>
          <c:h val="0.250676067672268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3650989056530889"/>
          <c:y val="0.17610746573344996"/>
          <c:w val="0.3377980533567797"/>
          <c:h val="0.64153762029746275"/>
        </c:manualLayout>
      </c:layout>
      <c:radarChart>
        <c:radarStyle val="marker"/>
        <c:varyColors val="0"/>
        <c:ser>
          <c:idx val="0"/>
          <c:order val="0"/>
          <c:tx>
            <c:v>Moyennes réelles</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'Tableau de bord'!$B$19:$B$25</c:f>
              <c:strCache>
                <c:ptCount val="7"/>
                <c:pt idx="0">
                  <c:v>Initiation à l'anglais de spécialité</c:v>
                </c:pt>
                <c:pt idx="1">
                  <c:v>Communication de l'information et recherche documentaire</c:v>
                </c:pt>
                <c:pt idx="2">
                  <c:v>Découverte des données de l’environnement entrepreneurial et économique </c:v>
                </c:pt>
                <c:pt idx="3">
                  <c:v>PPP1</c:v>
                </c:pt>
                <c:pt idx="4">
                  <c:v>SAÉ - Apprendre en situation la production de données en entreprise</c:v>
                </c:pt>
                <c:pt idx="5">
                  <c:v>SAÉ - Présentation en anglais d'un territoire économique et culturel</c:v>
                </c:pt>
                <c:pt idx="6">
                  <c:v>SAÉ - Mise en oeuvre d'une enquête</c:v>
                </c:pt>
              </c:strCache>
            </c:strRef>
          </c:cat>
          <c:val>
            <c:numRef>
              <c:f>'Tableau de bord'!$D$19:$D$25</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8B0-4509-A0EB-E235E84E66C8}"/>
            </c:ext>
          </c:extLst>
        </c:ser>
        <c:ser>
          <c:idx val="1"/>
          <c:order val="1"/>
          <c:tx>
            <c:v>Objectif</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'Tableau de bord'!$B$19:$B$25</c:f>
              <c:strCache>
                <c:ptCount val="7"/>
                <c:pt idx="0">
                  <c:v>Initiation à l'anglais de spécialité</c:v>
                </c:pt>
                <c:pt idx="1">
                  <c:v>Communication de l'information et recherche documentaire</c:v>
                </c:pt>
                <c:pt idx="2">
                  <c:v>Découverte des données de l’environnement entrepreneurial et économique </c:v>
                </c:pt>
                <c:pt idx="3">
                  <c:v>PPP1</c:v>
                </c:pt>
                <c:pt idx="4">
                  <c:v>SAÉ - Apprendre en situation la production de données en entreprise</c:v>
                </c:pt>
                <c:pt idx="5">
                  <c:v>SAÉ - Présentation en anglais d'un territoire économique et culturel</c:v>
                </c:pt>
                <c:pt idx="6">
                  <c:v>SAÉ - Mise en oeuvre d'une enquête</c:v>
                </c:pt>
              </c:strCache>
            </c:strRef>
          </c:cat>
          <c:val>
            <c:numRef>
              <c:f>'Tableau de bord'!$J$19:$J$25</c:f>
              <c:numCache>
                <c:formatCode>0.00</c:formatCode>
                <c:ptCount val="7"/>
              </c:numCache>
            </c:numRef>
          </c:val>
          <c:extLst>
            <c:ext xmlns:c16="http://schemas.microsoft.com/office/drawing/2014/chart" uri="{C3380CC4-5D6E-409C-BE32-E72D297353CC}">
              <c16:uniqueId val="{00000001-08B0-4509-A0EB-E235E84E66C8}"/>
            </c:ext>
          </c:extLst>
        </c:ser>
        <c:dLbls>
          <c:showLegendKey val="0"/>
          <c:showVal val="0"/>
          <c:showCatName val="0"/>
          <c:showSerName val="0"/>
          <c:showPercent val="0"/>
          <c:showBubbleSize val="0"/>
        </c:dLbls>
        <c:axId val="1483755360"/>
        <c:axId val="1483773664"/>
      </c:radarChart>
      <c:catAx>
        <c:axId val="1483755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3773664"/>
        <c:crosses val="autoZero"/>
        <c:auto val="1"/>
        <c:lblAlgn val="ctr"/>
        <c:lblOffset val="100"/>
        <c:noMultiLvlLbl val="0"/>
      </c:catAx>
      <c:valAx>
        <c:axId val="148377366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3755360"/>
        <c:crosses val="autoZero"/>
        <c:crossBetween val="between"/>
      </c:valAx>
      <c:spPr>
        <a:noFill/>
        <a:ln>
          <a:noFill/>
        </a:ln>
        <a:effectLst/>
      </c:spPr>
    </c:plotArea>
    <c:legend>
      <c:legendPos val="r"/>
      <c:layout>
        <c:manualLayout>
          <c:xMode val="edge"/>
          <c:yMode val="edge"/>
          <c:x val="0.75429396095169854"/>
          <c:y val="0.74437743103536502"/>
          <c:w val="0.24570597521462162"/>
          <c:h val="0.171072923551443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301465800838786"/>
          <c:y val="0.14383894721493146"/>
          <c:w val="0.28845358724375758"/>
          <c:h val="0.55975211431904348"/>
        </c:manualLayout>
      </c:layout>
      <c:radarChart>
        <c:radarStyle val="marker"/>
        <c:varyColors val="0"/>
        <c:ser>
          <c:idx val="0"/>
          <c:order val="0"/>
          <c:tx>
            <c:v>Moyennes réelles</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'Tableau de bord'!$B$29:$B$37</c:f>
              <c:strCache>
                <c:ptCount val="9"/>
                <c:pt idx="0">
                  <c:v>Reporting et datavisualisation</c:v>
                </c:pt>
                <c:pt idx="1">
                  <c:v>Bases de données relationnelles 2</c:v>
                </c:pt>
                <c:pt idx="2">
                  <c:v>Bases de la programmation 2</c:v>
                </c:pt>
                <c:pt idx="3">
                  <c:v>Programmation statistique</c:v>
                </c:pt>
                <c:pt idx="4">
                  <c:v>PPP2</c:v>
                </c:pt>
                <c:pt idx="5">
                  <c:v>SAÉ - Conception et implémentation d'une base de données</c:v>
                </c:pt>
                <c:pt idx="6">
                  <c:v>SAÉ - Datavisualisation</c:v>
                </c:pt>
                <c:pt idx="7">
                  <c:v>SAÉ - Analyse de données, reporting et datavisualisation</c:v>
                </c:pt>
                <c:pt idx="8">
                  <c:v>SAÉ - Portfolio</c:v>
                </c:pt>
              </c:strCache>
            </c:strRef>
          </c:cat>
          <c:val>
            <c:numRef>
              <c:f>'Tableau de bord'!$D$29:$D$37</c:f>
              <c:numCache>
                <c:formatCode>0.00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90BB-47C5-89B3-CFAB11D86D84}"/>
            </c:ext>
          </c:extLst>
        </c:ser>
        <c:ser>
          <c:idx val="1"/>
          <c:order val="1"/>
          <c:tx>
            <c:v>Objectif</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'Tableau de bord'!$B$29:$B$37</c:f>
              <c:strCache>
                <c:ptCount val="9"/>
                <c:pt idx="0">
                  <c:v>Reporting et datavisualisation</c:v>
                </c:pt>
                <c:pt idx="1">
                  <c:v>Bases de données relationnelles 2</c:v>
                </c:pt>
                <c:pt idx="2">
                  <c:v>Bases de la programmation 2</c:v>
                </c:pt>
                <c:pt idx="3">
                  <c:v>Programmation statistique</c:v>
                </c:pt>
                <c:pt idx="4">
                  <c:v>PPP2</c:v>
                </c:pt>
                <c:pt idx="5">
                  <c:v>SAÉ - Conception et implémentation d'une base de données</c:v>
                </c:pt>
                <c:pt idx="6">
                  <c:v>SAÉ - Datavisualisation</c:v>
                </c:pt>
                <c:pt idx="7">
                  <c:v>SAÉ - Analyse de données, reporting et datavisualisation</c:v>
                </c:pt>
                <c:pt idx="8">
                  <c:v>SAÉ - Portfolio</c:v>
                </c:pt>
              </c:strCache>
            </c:strRef>
          </c:cat>
          <c:val>
            <c:numRef>
              <c:f>'Tableau de bord'!$J$29:$J$37</c:f>
              <c:numCache>
                <c:formatCode>0.00</c:formatCode>
                <c:ptCount val="9"/>
              </c:numCache>
            </c:numRef>
          </c:val>
          <c:extLst>
            <c:ext xmlns:c16="http://schemas.microsoft.com/office/drawing/2014/chart" uri="{C3380CC4-5D6E-409C-BE32-E72D297353CC}">
              <c16:uniqueId val="{00000001-90BB-47C5-89B3-CFAB11D86D84}"/>
            </c:ext>
          </c:extLst>
        </c:ser>
        <c:dLbls>
          <c:showLegendKey val="0"/>
          <c:showVal val="0"/>
          <c:showCatName val="0"/>
          <c:showSerName val="0"/>
          <c:showPercent val="0"/>
          <c:showBubbleSize val="0"/>
        </c:dLbls>
        <c:axId val="1483768672"/>
        <c:axId val="1483767008"/>
      </c:radarChart>
      <c:catAx>
        <c:axId val="1483768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3767008"/>
        <c:crosses val="autoZero"/>
        <c:auto val="1"/>
        <c:lblAlgn val="ctr"/>
        <c:lblOffset val="100"/>
        <c:noMultiLvlLbl val="0"/>
      </c:catAx>
      <c:valAx>
        <c:axId val="1483767008"/>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3768672"/>
        <c:crosses val="autoZero"/>
        <c:crossBetween val="between"/>
      </c:valAx>
      <c:spPr>
        <a:noFill/>
        <a:ln>
          <a:noFill/>
        </a:ln>
        <a:effectLst/>
      </c:spPr>
    </c:plotArea>
    <c:legend>
      <c:legendPos val="r"/>
      <c:layout>
        <c:manualLayout>
          <c:xMode val="edge"/>
          <c:yMode val="edge"/>
          <c:x val="0.73569196837677109"/>
          <c:y val="0.75983741615631384"/>
          <c:w val="0.24856295149585494"/>
          <c:h val="0.161751542313039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311108242181949"/>
          <c:y val="0.11061901546133882"/>
          <c:w val="0.44361728185821764"/>
          <c:h val="0.76604580882645912"/>
        </c:manualLayout>
      </c:layout>
      <c:radarChart>
        <c:radarStyle val="marker"/>
        <c:varyColors val="0"/>
        <c:ser>
          <c:idx val="0"/>
          <c:order val="0"/>
          <c:tx>
            <c:v>Moyennes réelles</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'Tableau de bord'!$B$39:$B$48</c:f>
              <c:strCache>
                <c:ptCount val="10"/>
                <c:pt idx="0">
                  <c:v>Statistique descriptive 2</c:v>
                </c:pt>
                <c:pt idx="1">
                  <c:v>Probabilités 2</c:v>
                </c:pt>
                <c:pt idx="2">
                  <c:v>Bases de l'algèbre</c:v>
                </c:pt>
                <c:pt idx="3">
                  <c:v>Statistique inférentielle</c:v>
                </c:pt>
                <c:pt idx="4">
                  <c:v>PPP2</c:v>
                </c:pt>
                <c:pt idx="5">
                  <c:v>SAÉ - Estimation par échantillonnage</c:v>
                </c:pt>
                <c:pt idx="6">
                  <c:v>SAÉ - Régression sur des données réelles</c:v>
                </c:pt>
                <c:pt idx="7">
                  <c:v>SAÉ - Datavisualisation</c:v>
                </c:pt>
                <c:pt idx="8">
                  <c:v>SAÉ - Analyse de données, reporting et datavisualisation</c:v>
                </c:pt>
                <c:pt idx="9">
                  <c:v>SAÉ - Portfolio</c:v>
                </c:pt>
              </c:strCache>
            </c:strRef>
          </c:cat>
          <c:val>
            <c:numRef>
              <c:f>'Tableau de bord'!$D$39:$D$48</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A872-48BA-9536-A32B4706183D}"/>
            </c:ext>
          </c:extLst>
        </c:ser>
        <c:ser>
          <c:idx val="1"/>
          <c:order val="1"/>
          <c:tx>
            <c:v>Objectif</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'Tableau de bord'!$B$39:$B$48</c:f>
              <c:strCache>
                <c:ptCount val="10"/>
                <c:pt idx="0">
                  <c:v>Statistique descriptive 2</c:v>
                </c:pt>
                <c:pt idx="1">
                  <c:v>Probabilités 2</c:v>
                </c:pt>
                <c:pt idx="2">
                  <c:v>Bases de l'algèbre</c:v>
                </c:pt>
                <c:pt idx="3">
                  <c:v>Statistique inférentielle</c:v>
                </c:pt>
                <c:pt idx="4">
                  <c:v>PPP2</c:v>
                </c:pt>
                <c:pt idx="5">
                  <c:v>SAÉ - Estimation par échantillonnage</c:v>
                </c:pt>
                <c:pt idx="6">
                  <c:v>SAÉ - Régression sur des données réelles</c:v>
                </c:pt>
                <c:pt idx="7">
                  <c:v>SAÉ - Datavisualisation</c:v>
                </c:pt>
                <c:pt idx="8">
                  <c:v>SAÉ - Analyse de données, reporting et datavisualisation</c:v>
                </c:pt>
                <c:pt idx="9">
                  <c:v>SAÉ - Portfolio</c:v>
                </c:pt>
              </c:strCache>
            </c:strRef>
          </c:cat>
          <c:val>
            <c:numRef>
              <c:f>'Tableau de bord'!$J$39:$J$48</c:f>
              <c:numCache>
                <c:formatCode>0.00</c:formatCode>
                <c:ptCount val="10"/>
              </c:numCache>
            </c:numRef>
          </c:val>
          <c:extLst>
            <c:ext xmlns:c16="http://schemas.microsoft.com/office/drawing/2014/chart" uri="{C3380CC4-5D6E-409C-BE32-E72D297353CC}">
              <c16:uniqueId val="{00000001-A872-48BA-9536-A32B4706183D}"/>
            </c:ext>
          </c:extLst>
        </c:ser>
        <c:dLbls>
          <c:showLegendKey val="0"/>
          <c:showVal val="0"/>
          <c:showCatName val="0"/>
          <c:showSerName val="0"/>
          <c:showPercent val="0"/>
          <c:showBubbleSize val="0"/>
        </c:dLbls>
        <c:axId val="1483764512"/>
        <c:axId val="1483758272"/>
      </c:radarChart>
      <c:catAx>
        <c:axId val="1483764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3758272"/>
        <c:crosses val="autoZero"/>
        <c:auto val="1"/>
        <c:lblAlgn val="ctr"/>
        <c:lblOffset val="100"/>
        <c:noMultiLvlLbl val="0"/>
      </c:catAx>
      <c:valAx>
        <c:axId val="1483758272"/>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3764512"/>
        <c:crosses val="autoZero"/>
        <c:crossBetween val="between"/>
      </c:valAx>
      <c:spPr>
        <a:noFill/>
        <a:ln>
          <a:noFill/>
        </a:ln>
        <a:effectLst/>
      </c:spPr>
    </c:plotArea>
    <c:legend>
      <c:legendPos val="r"/>
      <c:layout>
        <c:manualLayout>
          <c:xMode val="edge"/>
          <c:yMode val="edge"/>
          <c:x val="0.7905566817122287"/>
          <c:y val="0.79031446785048876"/>
          <c:w val="0.20944331117809506"/>
          <c:h val="0.142529605548648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790579418804316"/>
          <c:y val="0.16926727909011374"/>
          <c:w val="0.37145248153312899"/>
          <c:h val="0.71232210557013709"/>
        </c:manualLayout>
      </c:layout>
      <c:radarChart>
        <c:radarStyle val="marker"/>
        <c:varyColors val="0"/>
        <c:ser>
          <c:idx val="0"/>
          <c:order val="0"/>
          <c:tx>
            <c:v>Moyennes réelles</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'Tableau de bord'!$B$50:$B$57</c:f>
              <c:strCache>
                <c:ptCount val="8"/>
                <c:pt idx="0">
                  <c:v>Approfondissement de l'anglais de spécialité</c:v>
                </c:pt>
                <c:pt idx="1">
                  <c:v>Communication et sémiologie</c:v>
                </c:pt>
                <c:pt idx="2">
                  <c:v>Étude des données de l'environnement entrepreneurial et économique</c:v>
                </c:pt>
                <c:pt idx="3">
                  <c:v>PPP2</c:v>
                </c:pt>
                <c:pt idx="4">
                  <c:v>SAÉ - Datavisualisation</c:v>
                </c:pt>
                <c:pt idx="5">
                  <c:v>SAÉ - Construction et présentation d'indicateurs de performance</c:v>
                </c:pt>
                <c:pt idx="6">
                  <c:v>SAÉ - Analyse de données, reporting et datavisualisation</c:v>
                </c:pt>
                <c:pt idx="7">
                  <c:v>SAÉ - Portfolio</c:v>
                </c:pt>
              </c:strCache>
            </c:strRef>
          </c:cat>
          <c:val>
            <c:numRef>
              <c:f>'Tableau de bord'!$D$50:$D$57</c:f>
              <c:numCache>
                <c:formatCode>0.00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F3FC-4B2A-80D4-1564C91A03EA}"/>
            </c:ext>
          </c:extLst>
        </c:ser>
        <c:ser>
          <c:idx val="1"/>
          <c:order val="1"/>
          <c:tx>
            <c:v>Objectif</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'Tableau de bord'!$B$50:$B$57</c:f>
              <c:strCache>
                <c:ptCount val="8"/>
                <c:pt idx="0">
                  <c:v>Approfondissement de l'anglais de spécialité</c:v>
                </c:pt>
                <c:pt idx="1">
                  <c:v>Communication et sémiologie</c:v>
                </c:pt>
                <c:pt idx="2">
                  <c:v>Étude des données de l'environnement entrepreneurial et économique</c:v>
                </c:pt>
                <c:pt idx="3">
                  <c:v>PPP2</c:v>
                </c:pt>
                <c:pt idx="4">
                  <c:v>SAÉ - Datavisualisation</c:v>
                </c:pt>
                <c:pt idx="5">
                  <c:v>SAÉ - Construction et présentation d'indicateurs de performance</c:v>
                </c:pt>
                <c:pt idx="6">
                  <c:v>SAÉ - Analyse de données, reporting et datavisualisation</c:v>
                </c:pt>
                <c:pt idx="7">
                  <c:v>SAÉ - Portfolio</c:v>
                </c:pt>
              </c:strCache>
            </c:strRef>
          </c:cat>
          <c:val>
            <c:numRef>
              <c:f>'Tableau de bord'!$J$50:$J$57</c:f>
              <c:numCache>
                <c:formatCode>0.00</c:formatCode>
                <c:ptCount val="8"/>
              </c:numCache>
            </c:numRef>
          </c:val>
          <c:extLst>
            <c:ext xmlns:c16="http://schemas.microsoft.com/office/drawing/2014/chart" uri="{C3380CC4-5D6E-409C-BE32-E72D297353CC}">
              <c16:uniqueId val="{00000001-F3FC-4B2A-80D4-1564C91A03EA}"/>
            </c:ext>
          </c:extLst>
        </c:ser>
        <c:dLbls>
          <c:showLegendKey val="0"/>
          <c:showVal val="0"/>
          <c:showCatName val="0"/>
          <c:showSerName val="0"/>
          <c:showPercent val="0"/>
          <c:showBubbleSize val="0"/>
        </c:dLbls>
        <c:axId val="1489557952"/>
        <c:axId val="1489558368"/>
      </c:radarChart>
      <c:catAx>
        <c:axId val="1489557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9558368"/>
        <c:crosses val="autoZero"/>
        <c:auto val="1"/>
        <c:lblAlgn val="ctr"/>
        <c:lblOffset val="100"/>
        <c:noMultiLvlLbl val="0"/>
      </c:catAx>
      <c:valAx>
        <c:axId val="1489558368"/>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9557952"/>
        <c:crosses val="autoZero"/>
        <c:crossBetween val="between"/>
      </c:valAx>
      <c:spPr>
        <a:noFill/>
        <a:ln>
          <a:noFill/>
        </a:ln>
        <a:effectLst/>
      </c:spPr>
    </c:plotArea>
    <c:legend>
      <c:legendPos val="r"/>
      <c:layout>
        <c:manualLayout>
          <c:xMode val="edge"/>
          <c:yMode val="edge"/>
          <c:x val="0.8261762010938053"/>
          <c:y val="0.69864106220656308"/>
          <c:w val="0.17382379890619459"/>
          <c:h val="0.1716945254815124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7.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37</xdr:row>
          <xdr:rowOff>76200</xdr:rowOff>
        </xdr:from>
        <xdr:to>
          <xdr:col>18</xdr:col>
          <xdr:colOff>482600</xdr:colOff>
          <xdr:row>41</xdr:row>
          <xdr:rowOff>0</xdr:rowOff>
        </xdr:to>
        <xdr:sp macro="" textlink="">
          <xdr:nvSpPr>
            <xdr:cNvPr id="1026" name="btxTableauDeBor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119062</xdr:colOff>
      <xdr:row>0</xdr:row>
      <xdr:rowOff>166688</xdr:rowOff>
    </xdr:from>
    <xdr:to>
      <xdr:col>4</xdr:col>
      <xdr:colOff>416720</xdr:colOff>
      <xdr:row>2</xdr:row>
      <xdr:rowOff>119686</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43062" y="166688"/>
          <a:ext cx="1821658" cy="857873"/>
        </a:xfrm>
        <a:prstGeom prst="rect">
          <a:avLst/>
        </a:prstGeom>
      </xdr:spPr>
    </xdr:pic>
    <xdr:clientData/>
  </xdr:twoCellAnchor>
  <xdr:twoCellAnchor editAs="oneCell">
    <xdr:from>
      <xdr:col>0</xdr:col>
      <xdr:colOff>71438</xdr:colOff>
      <xdr:row>0</xdr:row>
      <xdr:rowOff>154781</xdr:rowOff>
    </xdr:from>
    <xdr:to>
      <xdr:col>1</xdr:col>
      <xdr:colOff>726923</xdr:colOff>
      <xdr:row>2</xdr:row>
      <xdr:rowOff>119061</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438" y="154781"/>
          <a:ext cx="1417485" cy="869155"/>
        </a:xfrm>
        <a:prstGeom prst="rect">
          <a:avLst/>
        </a:prstGeom>
      </xdr:spPr>
    </xdr:pic>
    <xdr:clientData/>
  </xdr:twoCellAnchor>
  <xdr:twoCellAnchor editAs="oneCell">
    <xdr:from>
      <xdr:col>4</xdr:col>
      <xdr:colOff>702469</xdr:colOff>
      <xdr:row>1</xdr:row>
      <xdr:rowOff>95249</xdr:rowOff>
    </xdr:from>
    <xdr:to>
      <xdr:col>7</xdr:col>
      <xdr:colOff>714374</xdr:colOff>
      <xdr:row>2</xdr:row>
      <xdr:rowOff>187083</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50469" y="547687"/>
          <a:ext cx="2297905" cy="5442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69850</xdr:colOff>
          <xdr:row>0</xdr:row>
          <xdr:rowOff>50800</xdr:rowOff>
        </xdr:from>
        <xdr:to>
          <xdr:col>3</xdr:col>
          <xdr:colOff>2381250</xdr:colOff>
          <xdr:row>3</xdr:row>
          <xdr:rowOff>95250</xdr:rowOff>
        </xdr:to>
        <xdr:sp macro="" textlink="">
          <xdr:nvSpPr>
            <xdr:cNvPr id="8193" name="btxActver"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984250</xdr:colOff>
          <xdr:row>0</xdr:row>
          <xdr:rowOff>12700</xdr:rowOff>
        </xdr:from>
        <xdr:to>
          <xdr:col>7</xdr:col>
          <xdr:colOff>3594100</xdr:colOff>
          <xdr:row>3</xdr:row>
          <xdr:rowOff>57150</xdr:rowOff>
        </xdr:to>
        <xdr:sp macro="" textlink="">
          <xdr:nvSpPr>
            <xdr:cNvPr id="8195" name="btxEffacer"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1162050</xdr:colOff>
          <xdr:row>0</xdr:row>
          <xdr:rowOff>0</xdr:rowOff>
        </xdr:from>
        <xdr:to>
          <xdr:col>10</xdr:col>
          <xdr:colOff>336550</xdr:colOff>
          <xdr:row>3</xdr:row>
          <xdr:rowOff>69850</xdr:rowOff>
        </xdr:to>
        <xdr:sp macro="" textlink="">
          <xdr:nvSpPr>
            <xdr:cNvPr id="8197" name="btxObjectif"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31750</xdr:colOff>
      <xdr:row>5</xdr:row>
      <xdr:rowOff>22222</xdr:rowOff>
    </xdr:from>
    <xdr:to>
      <xdr:col>7</xdr:col>
      <xdr:colOff>4889501</xdr:colOff>
      <xdr:row>11</xdr:row>
      <xdr:rowOff>226785</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11</xdr:row>
      <xdr:rowOff>238579</xdr:rowOff>
    </xdr:from>
    <xdr:to>
      <xdr:col>7</xdr:col>
      <xdr:colOff>4889500</xdr:colOff>
      <xdr:row>17</xdr:row>
      <xdr:rowOff>136071</xdr:rowOff>
    </xdr:to>
    <xdr:graphicFrame macro="">
      <xdr:nvGraphicFramePr>
        <xdr:cNvPr id="3" name="Graphique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17</xdr:row>
      <xdr:rowOff>147865</xdr:rowOff>
    </xdr:from>
    <xdr:to>
      <xdr:col>8</xdr:col>
      <xdr:colOff>6225</xdr:colOff>
      <xdr:row>26</xdr:row>
      <xdr:rowOff>329046</xdr:rowOff>
    </xdr:to>
    <xdr:graphicFrame macro="">
      <xdr:nvGraphicFramePr>
        <xdr:cNvPr id="4" name="Graphique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40820</xdr:colOff>
      <xdr:row>27</xdr:row>
      <xdr:rowOff>737507</xdr:rowOff>
    </xdr:from>
    <xdr:to>
      <xdr:col>7</xdr:col>
      <xdr:colOff>4880427</xdr:colOff>
      <xdr:row>37</xdr:row>
      <xdr:rowOff>27215</xdr:rowOff>
    </xdr:to>
    <xdr:graphicFrame macro="">
      <xdr:nvGraphicFramePr>
        <xdr:cNvPr id="5" name="Graphique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39997</xdr:colOff>
      <xdr:row>38</xdr:row>
      <xdr:rowOff>27461</xdr:rowOff>
    </xdr:from>
    <xdr:to>
      <xdr:col>8</xdr:col>
      <xdr:colOff>26390</xdr:colOff>
      <xdr:row>48</xdr:row>
      <xdr:rowOff>70096</xdr:rowOff>
    </xdr:to>
    <xdr:graphicFrame macro="">
      <xdr:nvGraphicFramePr>
        <xdr:cNvPr id="6" name="Graphique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13607</xdr:colOff>
      <xdr:row>49</xdr:row>
      <xdr:rowOff>2722</xdr:rowOff>
    </xdr:from>
    <xdr:to>
      <xdr:col>7</xdr:col>
      <xdr:colOff>4898571</xdr:colOff>
      <xdr:row>57</xdr:row>
      <xdr:rowOff>117929</xdr:rowOff>
    </xdr:to>
    <xdr:graphicFrame macro="">
      <xdr:nvGraphicFramePr>
        <xdr:cNvPr id="7" name="Graphique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419100</xdr:colOff>
          <xdr:row>0</xdr:row>
          <xdr:rowOff>0</xdr:rowOff>
        </xdr:from>
        <xdr:to>
          <xdr:col>12</xdr:col>
          <xdr:colOff>304800</xdr:colOff>
          <xdr:row>1</xdr:row>
          <xdr:rowOff>127000</xdr:rowOff>
        </xdr:to>
        <xdr:sp macro="" textlink="">
          <xdr:nvSpPr>
            <xdr:cNvPr id="7169" name="btxConfiirmerChoix"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3109633</xdr:colOff>
      <xdr:row>23</xdr:row>
      <xdr:rowOff>1654</xdr:rowOff>
    </xdr:from>
    <xdr:to>
      <xdr:col>4</xdr:col>
      <xdr:colOff>2</xdr:colOff>
      <xdr:row>24</xdr:row>
      <xdr:rowOff>182095</xdr:rowOff>
    </xdr:to>
    <xdr:sp macro="" textlink="">
      <xdr:nvSpPr>
        <xdr:cNvPr id="2" name="ZoneTexte 1">
          <a:extLst>
            <a:ext uri="{FF2B5EF4-FFF2-40B4-BE49-F238E27FC236}">
              <a16:creationId xmlns:a16="http://schemas.microsoft.com/office/drawing/2014/main" id="{00000000-0008-0000-0300-000002000000}"/>
            </a:ext>
          </a:extLst>
        </xdr:cNvPr>
        <xdr:cNvSpPr txBox="1"/>
      </xdr:nvSpPr>
      <xdr:spPr>
        <a:xfrm>
          <a:off x="6009155" y="5464522"/>
          <a:ext cx="2843494" cy="3765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solidFill>
                <a:srgbClr val="FF0000"/>
              </a:solidFill>
              <a:latin typeface="Verdana" panose="020B0604030504040204" pitchFamily="34" charset="0"/>
              <a:ea typeface="Verdana" panose="020B0604030504040204" pitchFamily="34" charset="0"/>
            </a:rPr>
            <a:t>Notes du semestre 2 :</a:t>
          </a:r>
        </a:p>
      </xdr:txBody>
    </xdr:sp>
    <xdr:clientData/>
  </xdr:twoCellAnchor>
  <xdr:twoCellAnchor>
    <xdr:from>
      <xdr:col>4</xdr:col>
      <xdr:colOff>20820</xdr:colOff>
      <xdr:row>4</xdr:row>
      <xdr:rowOff>8581</xdr:rowOff>
    </xdr:from>
    <xdr:to>
      <xdr:col>5</xdr:col>
      <xdr:colOff>2411283</xdr:colOff>
      <xdr:row>5</xdr:row>
      <xdr:rowOff>163040</xdr:rowOff>
    </xdr:to>
    <xdr:sp macro="" textlink="">
      <xdr:nvSpPr>
        <xdr:cNvPr id="3" name="ZoneTexte 2">
          <a:extLst>
            <a:ext uri="{FF2B5EF4-FFF2-40B4-BE49-F238E27FC236}">
              <a16:creationId xmlns:a16="http://schemas.microsoft.com/office/drawing/2014/main" id="{00000000-0008-0000-0300-000003000000}"/>
            </a:ext>
          </a:extLst>
        </xdr:cNvPr>
        <xdr:cNvSpPr txBox="1"/>
      </xdr:nvSpPr>
      <xdr:spPr>
        <a:xfrm>
          <a:off x="9588725" y="729392"/>
          <a:ext cx="3051207" cy="3346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fr-FR" sz="2000" b="0" i="0" u="none" strike="noStrike" kern="0" cap="none" spc="0" normalizeH="0" baseline="0" noProof="0">
              <a:ln>
                <a:noFill/>
              </a:ln>
              <a:solidFill>
                <a:srgbClr val="FF0000"/>
              </a:solidFill>
              <a:effectLst/>
              <a:uLnTx/>
              <a:uFillTx/>
              <a:latin typeface="Verdana" panose="020B0604030504040204" pitchFamily="34" charset="0"/>
              <a:ea typeface="Verdana" panose="020B0604030504040204" pitchFamily="34" charset="0"/>
              <a:cs typeface="+mn-cs"/>
            </a:rPr>
            <a:t>Notes du semestre 1 :</a:t>
          </a:r>
        </a:p>
        <a:p>
          <a:endParaRPr lang="fr-FR"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hème Office">
  <a:themeElements>
    <a:clrScheme name="Palissade">
      <a:dk1>
        <a:srgbClr val="000000"/>
      </a:dk1>
      <a:lt1>
        <a:sysClr val="window" lastClr="FFFFFF"/>
      </a:lt1>
      <a:dk2>
        <a:srgbClr val="5E5E5E"/>
      </a:dk2>
      <a:lt2>
        <a:srgbClr val="DDDDDD"/>
      </a:lt2>
      <a:accent1>
        <a:srgbClr val="418AB3"/>
      </a:accent1>
      <a:accent2>
        <a:srgbClr val="A6B727"/>
      </a:accent2>
      <a:accent3>
        <a:srgbClr val="F69200"/>
      </a:accent3>
      <a:accent4>
        <a:srgbClr val="838383"/>
      </a:accent4>
      <a:accent5>
        <a:srgbClr val="FEC306"/>
      </a:accent5>
      <a:accent6>
        <a:srgbClr val="DF5327"/>
      </a:accent6>
      <a:hlink>
        <a:srgbClr val="F59E00"/>
      </a:hlink>
      <a:folHlink>
        <a:srgbClr val="B2B2B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5.emf"/><Relationship Id="rId4" Type="http://schemas.openxmlformats.org/officeDocument/2006/relationships/control" Target="../activeX/activeX2.xml"/><Relationship Id="rId9" Type="http://schemas.openxmlformats.org/officeDocument/2006/relationships/image" Target="../media/image7.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DDD6F-8784-405E-8227-634E6F2F63F5}">
  <sheetPr codeName="Feuil5">
    <tabColor theme="4" tint="0.79998168889431442"/>
  </sheetPr>
  <dimension ref="A1:AD36"/>
  <sheetViews>
    <sheetView tabSelected="1" zoomScale="80" workbookViewId="0">
      <selection sqref="A1:AD1"/>
    </sheetView>
  </sheetViews>
  <sheetFormatPr baseColWidth="10" defaultColWidth="11.453125" defaultRowHeight="14.5" x14ac:dyDescent="0.35"/>
  <cols>
    <col min="1" max="9" width="11.453125" style="120"/>
    <col min="10" max="10" width="11.26953125" style="120" customWidth="1"/>
    <col min="11" max="16384" width="11.453125" style="120"/>
  </cols>
  <sheetData>
    <row r="1" spans="1:30" ht="36" x14ac:dyDescent="0.35">
      <c r="A1" s="133" t="s">
        <v>88</v>
      </c>
      <c r="B1" s="134"/>
      <c r="C1" s="134"/>
      <c r="D1" s="134"/>
      <c r="E1" s="134"/>
      <c r="F1" s="134"/>
      <c r="G1" s="134"/>
      <c r="H1" s="134"/>
      <c r="I1" s="134"/>
      <c r="J1" s="134"/>
      <c r="K1" s="134"/>
      <c r="L1" s="134"/>
      <c r="M1" s="134"/>
      <c r="N1" s="134"/>
      <c r="O1" s="135"/>
      <c r="P1" s="135"/>
      <c r="Q1" s="135"/>
      <c r="R1" s="135"/>
      <c r="S1" s="135"/>
      <c r="T1" s="135"/>
      <c r="U1" s="135"/>
      <c r="V1" s="135"/>
      <c r="W1" s="136"/>
      <c r="X1" s="136"/>
      <c r="Y1" s="136"/>
      <c r="Z1" s="136"/>
      <c r="AA1" s="136"/>
      <c r="AB1" s="136"/>
      <c r="AC1" s="136"/>
      <c r="AD1" s="136"/>
    </row>
    <row r="2" spans="1:30" ht="36" x14ac:dyDescent="0.35">
      <c r="A2" s="133" t="s">
        <v>64</v>
      </c>
      <c r="B2" s="134"/>
      <c r="C2" s="134"/>
      <c r="D2" s="134"/>
      <c r="E2" s="134"/>
      <c r="F2" s="134"/>
      <c r="G2" s="134"/>
      <c r="H2" s="134"/>
      <c r="I2" s="134"/>
      <c r="J2" s="134"/>
      <c r="K2" s="134"/>
      <c r="L2" s="134"/>
      <c r="M2" s="134"/>
      <c r="N2" s="134"/>
      <c r="O2" s="135"/>
      <c r="P2" s="135"/>
      <c r="Q2" s="135"/>
      <c r="R2" s="135"/>
      <c r="S2" s="135"/>
      <c r="T2" s="135"/>
      <c r="U2" s="135"/>
      <c r="V2" s="135"/>
      <c r="W2" s="136"/>
      <c r="X2" s="136"/>
      <c r="Y2" s="136"/>
      <c r="Z2" s="136"/>
      <c r="AA2" s="136"/>
      <c r="AB2" s="136"/>
      <c r="AC2" s="136"/>
      <c r="AD2" s="136"/>
    </row>
    <row r="3" spans="1:30" ht="36" x14ac:dyDescent="0.35">
      <c r="A3" s="133" t="s">
        <v>65</v>
      </c>
      <c r="B3" s="134"/>
      <c r="C3" s="134"/>
      <c r="D3" s="134"/>
      <c r="E3" s="134"/>
      <c r="F3" s="134"/>
      <c r="G3" s="134"/>
      <c r="H3" s="134"/>
      <c r="I3" s="134"/>
      <c r="J3" s="134"/>
      <c r="K3" s="134"/>
      <c r="L3" s="134"/>
      <c r="M3" s="134"/>
      <c r="N3" s="134"/>
      <c r="O3" s="135"/>
      <c r="P3" s="135"/>
      <c r="Q3" s="135"/>
      <c r="R3" s="135"/>
      <c r="S3" s="135"/>
      <c r="T3" s="135"/>
      <c r="U3" s="135"/>
      <c r="V3" s="136"/>
      <c r="W3" s="136"/>
      <c r="X3" s="136"/>
      <c r="Y3" s="136"/>
      <c r="Z3" s="136"/>
      <c r="AA3" s="136"/>
      <c r="AB3" s="136"/>
      <c r="AC3" s="136"/>
    </row>
    <row r="4" spans="1:30" x14ac:dyDescent="0.35">
      <c r="A4" s="121"/>
    </row>
    <row r="5" spans="1:30" x14ac:dyDescent="0.35">
      <c r="A5" s="121" t="s">
        <v>66</v>
      </c>
    </row>
    <row r="6" spans="1:30" x14ac:dyDescent="0.35">
      <c r="A6" s="122" t="s">
        <v>67</v>
      </c>
      <c r="B6" s="123"/>
      <c r="C6" s="123"/>
      <c r="D6" s="123"/>
      <c r="E6" s="123"/>
      <c r="F6" s="123"/>
      <c r="G6" s="123"/>
      <c r="H6" s="123"/>
      <c r="I6" s="123"/>
      <c r="J6" s="123"/>
      <c r="K6" s="123"/>
      <c r="L6" s="123"/>
      <c r="M6" s="123"/>
      <c r="N6" s="123"/>
    </row>
    <row r="7" spans="1:30" x14ac:dyDescent="0.35">
      <c r="A7" s="122"/>
      <c r="B7" s="123"/>
      <c r="C7" s="123"/>
      <c r="D7" s="123"/>
      <c r="E7" s="123"/>
      <c r="F7" s="123"/>
      <c r="G7" s="123"/>
      <c r="H7" s="123"/>
      <c r="I7" s="123"/>
      <c r="J7" s="123"/>
      <c r="K7" s="123"/>
      <c r="L7" s="123"/>
      <c r="M7" s="123"/>
      <c r="N7" s="123"/>
    </row>
    <row r="8" spans="1:30" x14ac:dyDescent="0.35">
      <c r="A8" s="124" t="s">
        <v>68</v>
      </c>
    </row>
    <row r="9" spans="1:30" x14ac:dyDescent="0.35">
      <c r="A9" s="124" t="s">
        <v>69</v>
      </c>
    </row>
    <row r="10" spans="1:30" x14ac:dyDescent="0.35">
      <c r="A10" s="124" t="s">
        <v>70</v>
      </c>
    </row>
    <row r="11" spans="1:30" x14ac:dyDescent="0.35">
      <c r="A11" s="124" t="s">
        <v>71</v>
      </c>
    </row>
    <row r="12" spans="1:30" x14ac:dyDescent="0.35">
      <c r="A12" s="124" t="s">
        <v>72</v>
      </c>
    </row>
    <row r="13" spans="1:30" ht="23.5" x14ac:dyDescent="0.55000000000000004">
      <c r="A13" s="125"/>
    </row>
    <row r="14" spans="1:30" ht="23.5" x14ac:dyDescent="0.55000000000000004">
      <c r="A14" s="125"/>
    </row>
    <row r="15" spans="1:30" x14ac:dyDescent="0.35">
      <c r="A15" s="124" t="s">
        <v>73</v>
      </c>
    </row>
    <row r="16" spans="1:30" x14ac:dyDescent="0.35">
      <c r="A16" s="124" t="s">
        <v>74</v>
      </c>
    </row>
    <row r="17" spans="1:28" x14ac:dyDescent="0.35">
      <c r="A17" s="124"/>
    </row>
    <row r="18" spans="1:28" x14ac:dyDescent="0.35">
      <c r="A18" s="124" t="s">
        <v>75</v>
      </c>
    </row>
    <row r="19" spans="1:28" x14ac:dyDescent="0.35">
      <c r="A19" s="124"/>
    </row>
    <row r="20" spans="1:28" x14ac:dyDescent="0.35">
      <c r="A20" s="124" t="s">
        <v>76</v>
      </c>
    </row>
    <row r="21" spans="1:28" x14ac:dyDescent="0.35">
      <c r="A21" s="124" t="s">
        <v>77</v>
      </c>
    </row>
    <row r="22" spans="1:28" x14ac:dyDescent="0.35">
      <c r="A22" s="124" t="s">
        <v>78</v>
      </c>
    </row>
    <row r="23" spans="1:28" x14ac:dyDescent="0.35">
      <c r="A23" s="124" t="s">
        <v>79</v>
      </c>
    </row>
    <row r="24" spans="1:28" x14ac:dyDescent="0.35">
      <c r="A24" s="124" t="s">
        <v>80</v>
      </c>
    </row>
    <row r="25" spans="1:28" x14ac:dyDescent="0.35">
      <c r="A25" s="124"/>
    </row>
    <row r="26" spans="1:28" x14ac:dyDescent="0.35">
      <c r="A26" s="126" t="s">
        <v>81</v>
      </c>
    </row>
    <row r="27" spans="1:28" x14ac:dyDescent="0.35">
      <c r="A27" s="124" t="s">
        <v>82</v>
      </c>
    </row>
    <row r="28" spans="1:28" x14ac:dyDescent="0.35">
      <c r="A28" s="124" t="s">
        <v>83</v>
      </c>
    </row>
    <row r="29" spans="1:28" x14ac:dyDescent="0.35">
      <c r="A29" s="124"/>
    </row>
    <row r="30" spans="1:28" x14ac:dyDescent="0.35">
      <c r="A30" s="126" t="s">
        <v>84</v>
      </c>
    </row>
    <row r="31" spans="1:28" x14ac:dyDescent="0.35">
      <c r="A31" s="126" t="s">
        <v>85</v>
      </c>
    </row>
    <row r="32" spans="1:28" x14ac:dyDescent="0.35">
      <c r="A32" s="129" t="s">
        <v>86</v>
      </c>
      <c r="B32" s="130"/>
      <c r="C32" s="130"/>
      <c r="D32" s="131"/>
      <c r="E32" s="131"/>
      <c r="F32" s="131"/>
      <c r="G32" s="131"/>
      <c r="H32" s="131"/>
      <c r="I32" s="131"/>
      <c r="J32" s="132"/>
      <c r="K32" s="132"/>
      <c r="L32" s="132"/>
      <c r="M32" s="127"/>
      <c r="N32" s="127"/>
      <c r="O32" s="127"/>
      <c r="P32" s="127"/>
      <c r="Q32" s="127"/>
      <c r="R32" s="127"/>
      <c r="S32" s="127"/>
      <c r="T32" s="127"/>
      <c r="U32" s="127"/>
      <c r="V32" s="127"/>
      <c r="W32" s="127"/>
      <c r="X32" s="127"/>
      <c r="Y32" s="127"/>
      <c r="Z32" s="127"/>
      <c r="AA32" s="127"/>
      <c r="AB32" s="127"/>
    </row>
    <row r="33" spans="1:28" x14ac:dyDescent="0.35">
      <c r="A33" s="131"/>
      <c r="B33" s="131"/>
      <c r="C33" s="131"/>
      <c r="D33" s="131"/>
      <c r="E33" s="131"/>
      <c r="F33" s="131"/>
      <c r="G33" s="131"/>
      <c r="H33" s="131"/>
      <c r="I33" s="131"/>
      <c r="J33" s="132"/>
      <c r="K33" s="132"/>
      <c r="L33" s="132"/>
      <c r="M33" s="127"/>
      <c r="N33" s="127"/>
      <c r="O33" s="127"/>
      <c r="P33" s="127"/>
      <c r="Q33" s="127"/>
      <c r="R33" s="127"/>
      <c r="S33" s="127"/>
      <c r="T33" s="127"/>
      <c r="U33" s="127"/>
      <c r="V33" s="127"/>
      <c r="W33" s="127"/>
      <c r="X33" s="127"/>
      <c r="Y33" s="127"/>
      <c r="Z33" s="127"/>
      <c r="AA33" s="127"/>
      <c r="AB33" s="127"/>
    </row>
    <row r="34" spans="1:28" x14ac:dyDescent="0.35">
      <c r="A34" s="131"/>
      <c r="B34" s="131"/>
      <c r="C34" s="131"/>
      <c r="D34" s="131"/>
      <c r="E34" s="131"/>
      <c r="F34" s="131"/>
      <c r="G34" s="131"/>
      <c r="H34" s="131"/>
      <c r="I34" s="131"/>
      <c r="J34" s="132"/>
      <c r="K34" s="132"/>
      <c r="L34" s="132"/>
      <c r="M34" s="128"/>
      <c r="N34" s="128"/>
      <c r="O34" s="128"/>
      <c r="P34" s="128"/>
      <c r="Q34" s="128"/>
      <c r="R34" s="128"/>
      <c r="S34" s="128"/>
      <c r="T34" s="128"/>
      <c r="U34" s="128"/>
      <c r="V34" s="128"/>
      <c r="W34" s="128"/>
      <c r="X34" s="128"/>
      <c r="Y34" s="128"/>
      <c r="Z34" s="128"/>
      <c r="AA34" s="128"/>
      <c r="AB34" s="128"/>
    </row>
    <row r="35" spans="1:28" x14ac:dyDescent="0.35">
      <c r="A35" s="131"/>
      <c r="B35" s="131"/>
      <c r="C35" s="131"/>
      <c r="D35" s="131"/>
      <c r="E35" s="131"/>
      <c r="F35" s="131"/>
      <c r="G35" s="131"/>
      <c r="H35" s="131"/>
      <c r="I35" s="131"/>
      <c r="J35" s="132"/>
      <c r="K35" s="132"/>
      <c r="L35" s="132"/>
      <c r="M35" s="128"/>
      <c r="N35" s="128"/>
      <c r="O35" s="128"/>
      <c r="P35" s="128"/>
      <c r="Q35" s="128"/>
      <c r="R35" s="128"/>
      <c r="S35" s="128"/>
      <c r="T35" s="128"/>
      <c r="U35" s="128"/>
      <c r="V35" s="128"/>
      <c r="W35" s="128"/>
      <c r="X35" s="128"/>
      <c r="Y35" s="128"/>
      <c r="Z35" s="128"/>
      <c r="AA35" s="128"/>
      <c r="AB35" s="128"/>
    </row>
    <row r="36" spans="1:28" x14ac:dyDescent="0.35">
      <c r="A36" s="132"/>
      <c r="B36" s="132"/>
      <c r="C36" s="132"/>
      <c r="D36" s="132"/>
      <c r="E36" s="132"/>
      <c r="F36" s="132"/>
      <c r="G36" s="132"/>
      <c r="H36" s="132"/>
      <c r="I36" s="132"/>
      <c r="J36" s="132"/>
      <c r="K36" s="132"/>
      <c r="L36" s="132"/>
    </row>
  </sheetData>
  <sheetProtection sheet="1" objects="1" scenarios="1"/>
  <mergeCells count="4">
    <mergeCell ref="A32:L36"/>
    <mergeCell ref="A1:AD1"/>
    <mergeCell ref="A2:AD2"/>
    <mergeCell ref="A3:AC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txTableauDeBord">
          <controlPr defaultSize="0" autoLine="0" r:id="rId5">
            <anchor moveWithCells="1">
              <from>
                <xdr:col>12</xdr:col>
                <xdr:colOff>0</xdr:colOff>
                <xdr:row>37</xdr:row>
                <xdr:rowOff>76200</xdr:rowOff>
              </from>
              <to>
                <xdr:col>18</xdr:col>
                <xdr:colOff>482600</xdr:colOff>
                <xdr:row>41</xdr:row>
                <xdr:rowOff>0</xdr:rowOff>
              </to>
            </anchor>
          </controlPr>
        </control>
      </mc:Choice>
      <mc:Fallback>
        <control shapeId="1026" r:id="rId4" name="btxTableauDeBor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A6FC2-1898-4E33-AC51-1962F88A7C77}">
  <sheetPr codeName="Feuil2">
    <tabColor theme="9" tint="0.79998168889431442"/>
    <pageSetUpPr fitToPage="1"/>
  </sheetPr>
  <dimension ref="A1:T79"/>
  <sheetViews>
    <sheetView zoomScale="55" zoomScaleNormal="55" workbookViewId="0">
      <selection sqref="A1:B4"/>
    </sheetView>
  </sheetViews>
  <sheetFormatPr baseColWidth="10" defaultColWidth="0" defaultRowHeight="14.5" x14ac:dyDescent="0.35"/>
  <cols>
    <col min="1" max="1" width="39" style="1" customWidth="1"/>
    <col min="2" max="2" width="64.26953125" bestFit="1" customWidth="1"/>
    <col min="3" max="3" width="18" style="2" bestFit="1" customWidth="1"/>
    <col min="4" max="4" width="36.54296875" style="2" bestFit="1" customWidth="1"/>
    <col min="5" max="6" width="6.7265625" hidden="1" customWidth="1"/>
    <col min="7" max="7" width="8.26953125" hidden="1" customWidth="1"/>
    <col min="8" max="8" width="70.453125" customWidth="1"/>
    <col min="9" max="9" width="25.54296875" bestFit="1" customWidth="1"/>
    <col min="10" max="10" width="18.1796875" customWidth="1"/>
    <col min="11" max="13" width="8" customWidth="1"/>
    <col min="14" max="14" width="13.453125" customWidth="1"/>
    <col min="15" max="18" width="11.453125" customWidth="1"/>
    <col min="19" max="19" width="26.26953125" customWidth="1"/>
    <col min="20" max="26" width="11.453125" customWidth="1"/>
  </cols>
  <sheetData>
    <row r="1" spans="1:20" x14ac:dyDescent="0.35">
      <c r="A1" s="137" t="s">
        <v>87</v>
      </c>
      <c r="B1" s="137"/>
      <c r="C1" s="32"/>
    </row>
    <row r="2" spans="1:20" x14ac:dyDescent="0.35">
      <c r="A2" s="137"/>
      <c r="B2" s="137"/>
      <c r="C2"/>
      <c r="D2"/>
    </row>
    <row r="3" spans="1:20" ht="15" customHeight="1" x14ac:dyDescent="0.35">
      <c r="A3" s="137"/>
      <c r="B3" s="137"/>
      <c r="C3"/>
      <c r="D3"/>
    </row>
    <row r="4" spans="1:20" x14ac:dyDescent="0.35">
      <c r="A4" s="138"/>
      <c r="B4" s="138"/>
      <c r="C4"/>
      <c r="D4"/>
    </row>
    <row r="5" spans="1:20" ht="73.5" customHeight="1" x14ac:dyDescent="0.45">
      <c r="A5" s="141" t="s">
        <v>0</v>
      </c>
      <c r="B5" s="142"/>
      <c r="C5" s="35" t="s">
        <v>60</v>
      </c>
      <c r="D5" s="36" t="s">
        <v>1</v>
      </c>
      <c r="E5" s="15"/>
      <c r="F5" s="15"/>
      <c r="G5" s="15"/>
      <c r="H5" s="119" t="s">
        <v>63</v>
      </c>
      <c r="I5" s="36" t="s">
        <v>2</v>
      </c>
      <c r="J5" s="36" t="s">
        <v>61</v>
      </c>
      <c r="K5" s="95"/>
    </row>
    <row r="6" spans="1:20" ht="23.15" customHeight="1" x14ac:dyDescent="0.35">
      <c r="A6" s="150" t="s">
        <v>3</v>
      </c>
      <c r="B6" s="33" t="s">
        <v>4</v>
      </c>
      <c r="C6" s="34">
        <v>15</v>
      </c>
      <c r="D6" s="109" t="str">
        <f>IFERROR(AVERAGE(BDD!I8:O8),"")</f>
        <v/>
      </c>
      <c r="E6" s="16" t="str" cm="1">
        <f t="array" aca="1" ref="E6" ca="1" xml:space="preserve"> CELL("contenu",D6)</f>
        <v/>
      </c>
      <c r="I6" s="193" t="str">
        <f>IFERROR(SUMPRODUCT(D6:D11,$C$6:$C$11)/SUMIF(D6:D11,"&gt;=0",$C$6:$C$11),"Veuillez entrer des notes")</f>
        <v>Veuillez entrer des notes</v>
      </c>
      <c r="J6" s="93">
        <v>16.670000076293945</v>
      </c>
      <c r="K6" s="32"/>
    </row>
    <row r="7" spans="1:20" ht="23.15" customHeight="1" x14ac:dyDescent="0.35">
      <c r="A7" s="150"/>
      <c r="B7" s="17" t="s">
        <v>5</v>
      </c>
      <c r="C7" s="18">
        <v>20</v>
      </c>
      <c r="D7" s="110" t="str">
        <f>IFERROR(AVERAGE(BDD!I9:O9),"")</f>
        <v/>
      </c>
      <c r="E7" s="16" t="str" cm="1">
        <f t="array" aca="1" ref="E7" ca="1" xml:space="preserve"> CELL("contenu",D7)</f>
        <v/>
      </c>
      <c r="I7" s="193"/>
      <c r="J7" s="93"/>
    </row>
    <row r="8" spans="1:20" ht="23.15" customHeight="1" x14ac:dyDescent="0.35">
      <c r="A8" s="150"/>
      <c r="B8" s="17" t="s">
        <v>6</v>
      </c>
      <c r="C8" s="18">
        <v>20</v>
      </c>
      <c r="D8" s="111" t="str">
        <f>IFERROR(AVERAGE(BDD!I10:O10),"")</f>
        <v/>
      </c>
      <c r="E8" s="16" t="str" cm="1">
        <f t="array" aca="1" ref="E8" ca="1">CELL("contenu",D8)</f>
        <v/>
      </c>
      <c r="I8" s="193"/>
      <c r="J8" s="93"/>
      <c r="K8" s="32"/>
    </row>
    <row r="9" spans="1:20" ht="23.15" customHeight="1" thickBot="1" x14ac:dyDescent="0.4">
      <c r="A9" s="150"/>
      <c r="B9" s="23" t="s">
        <v>7</v>
      </c>
      <c r="C9" s="18">
        <v>5</v>
      </c>
      <c r="D9" s="111" t="str">
        <f>IFERROR(AVERAGE(BDD!I11:O11),"")</f>
        <v/>
      </c>
      <c r="E9" s="16" t="str" cm="1">
        <f t="array" aca="1" ref="E9" ca="1" xml:space="preserve"> CELL("contenu",D9)</f>
        <v/>
      </c>
      <c r="I9" s="193"/>
      <c r="J9" s="93"/>
      <c r="K9" s="32"/>
    </row>
    <row r="10" spans="1:20" ht="23.15" customHeight="1" x14ac:dyDescent="0.65">
      <c r="A10" s="150"/>
      <c r="B10" s="17" t="s">
        <v>8</v>
      </c>
      <c r="C10" s="18">
        <v>30</v>
      </c>
      <c r="D10" s="111" t="str">
        <f>IFERROR(AVERAGE(BDD!I11:O11),"")</f>
        <v/>
      </c>
      <c r="E10" s="16" t="str" cm="1">
        <f t="array" aca="1" ref="E10" ca="1" xml:space="preserve"> CELL("contenu",D10)</f>
        <v/>
      </c>
      <c r="I10" s="193"/>
      <c r="J10" s="93"/>
      <c r="K10" s="32"/>
      <c r="M10" s="43"/>
      <c r="N10" s="46" t="s">
        <v>58</v>
      </c>
      <c r="O10" s="44"/>
      <c r="P10" s="44"/>
      <c r="Q10" s="44"/>
      <c r="R10" s="44"/>
      <c r="S10" s="44"/>
      <c r="T10" s="45"/>
    </row>
    <row r="11" spans="1:20" ht="23.15" customHeight="1" x14ac:dyDescent="0.35">
      <c r="A11" s="151"/>
      <c r="B11" s="17" t="s">
        <v>9</v>
      </c>
      <c r="C11" s="18">
        <v>10</v>
      </c>
      <c r="D11" s="111" t="str">
        <f>IFERROR(AVERAGE(BDD!I12:O12),"")</f>
        <v/>
      </c>
      <c r="E11" s="16" t="str" cm="1">
        <f t="array" aca="1" ref="E11" ca="1" xml:space="preserve"> CELL("contenu",D11)</f>
        <v/>
      </c>
      <c r="I11" s="194"/>
      <c r="J11" s="93"/>
      <c r="K11" s="32"/>
      <c r="M11" s="38"/>
      <c r="T11" s="37"/>
    </row>
    <row r="12" spans="1:20" ht="23.5" x14ac:dyDescent="0.55000000000000004">
      <c r="A12" s="7"/>
      <c r="B12" s="5"/>
      <c r="C12" s="6"/>
      <c r="D12" s="112"/>
      <c r="E12" s="16"/>
      <c r="I12" s="13"/>
      <c r="M12" s="38"/>
      <c r="N12" s="30"/>
      <c r="Q12" s="139" t="s">
        <v>55</v>
      </c>
      <c r="R12" s="139"/>
      <c r="S12" s="31" t="s">
        <v>56</v>
      </c>
      <c r="T12" s="39"/>
    </row>
    <row r="13" spans="1:20" ht="22.5" customHeight="1" x14ac:dyDescent="0.35">
      <c r="A13" s="143" t="s">
        <v>10</v>
      </c>
      <c r="B13" s="19" t="s">
        <v>11</v>
      </c>
      <c r="C13" s="20">
        <v>20</v>
      </c>
      <c r="D13" s="111" t="str">
        <f>IFERROR(AVERAGE(BDD!I13:O13),"")</f>
        <v/>
      </c>
      <c r="E13" s="16" t="str" cm="1">
        <f t="array" aca="1" ref="E13" ca="1" xml:space="preserve"> CELL("contenu",D13)</f>
        <v/>
      </c>
      <c r="I13" s="195" t="str">
        <f>IFERROR(SUMPRODUCT(D13:D17,$C$13:$C$17)/SUMIF(D13:D17,"&gt;=0",$C$13:$C$17),"Veuillez entrer des notes")</f>
        <v>Veuillez entrer des notes</v>
      </c>
      <c r="J13" s="94"/>
      <c r="K13" s="32"/>
      <c r="M13" s="38"/>
      <c r="N13" s="171" t="s">
        <v>3</v>
      </c>
      <c r="O13" s="172"/>
      <c r="P13" s="173"/>
      <c r="Q13" s="177">
        <f>IFERROR(AVERAGE(I6,I29),0)</f>
        <v>0</v>
      </c>
      <c r="R13" s="186"/>
      <c r="S13" s="140" t="str">
        <f>IFERROR(IF(ISTEXT(Q13),"0",IF(AVERAGE(I6,I29)&gt;=10,"1","0")),"Vous n'avez pas saisi tout les arguments nécessaires")</f>
        <v>Vous n'avez pas saisi tout les arguments nécessaires</v>
      </c>
      <c r="T13" s="37"/>
    </row>
    <row r="14" spans="1:20" ht="23.15" customHeight="1" x14ac:dyDescent="0.35">
      <c r="A14" s="144"/>
      <c r="B14" s="19" t="s">
        <v>12</v>
      </c>
      <c r="C14" s="20">
        <v>15</v>
      </c>
      <c r="D14" s="111" t="str">
        <f>IFERROR(AVERAGE(BDD!I14:O14),"")</f>
        <v/>
      </c>
      <c r="E14" s="16" t="str" cm="1">
        <f t="array" aca="1" ref="E14" ca="1" xml:space="preserve"> CELL("contenu",D14)</f>
        <v/>
      </c>
      <c r="I14" s="196"/>
      <c r="J14" s="94"/>
      <c r="K14" s="32"/>
      <c r="M14" s="38"/>
      <c r="N14" s="174"/>
      <c r="O14" s="136"/>
      <c r="P14" s="175"/>
      <c r="Q14" s="179"/>
      <c r="R14" s="187"/>
      <c r="S14" s="140"/>
      <c r="T14" s="37"/>
    </row>
    <row r="15" spans="1:20" ht="23.15" customHeight="1" x14ac:dyDescent="0.35">
      <c r="A15" s="144"/>
      <c r="B15" s="19" t="s">
        <v>13</v>
      </c>
      <c r="C15" s="20">
        <v>20</v>
      </c>
      <c r="D15" s="111" t="str">
        <f>IFERROR(AVERAGE(BDD!I15:O15),"")</f>
        <v/>
      </c>
      <c r="E15" s="16" t="str" cm="1">
        <f t="array" aca="1" ref="E15" ca="1" xml:space="preserve"> CELL("contenu",D15)</f>
        <v/>
      </c>
      <c r="I15" s="196"/>
      <c r="J15" s="94"/>
      <c r="K15" s="32"/>
      <c r="M15" s="38"/>
      <c r="N15" s="174"/>
      <c r="O15" s="136"/>
      <c r="P15" s="175"/>
      <c r="Q15" s="179"/>
      <c r="R15" s="187"/>
      <c r="S15" s="140"/>
      <c r="T15" s="37"/>
    </row>
    <row r="16" spans="1:20" ht="23.15" customHeight="1" x14ac:dyDescent="0.35">
      <c r="A16" s="144"/>
      <c r="B16" s="23" t="s">
        <v>7</v>
      </c>
      <c r="C16" s="20">
        <v>5</v>
      </c>
      <c r="D16" s="111" t="str">
        <f>IFERROR(AVERAGE(BDD!I23:O23),"")</f>
        <v/>
      </c>
      <c r="E16" s="16" t="str" cm="1">
        <f t="array" aca="1" ref="E16" ca="1" xml:space="preserve"> CELL("contenu",D16)</f>
        <v/>
      </c>
      <c r="I16" s="196"/>
      <c r="J16" s="94"/>
      <c r="K16" s="32"/>
      <c r="M16" s="38"/>
      <c r="N16" s="174"/>
      <c r="O16" s="136"/>
      <c r="P16" s="175"/>
      <c r="Q16" s="179"/>
      <c r="R16" s="187"/>
      <c r="S16" s="140"/>
      <c r="T16" s="37"/>
    </row>
    <row r="17" spans="1:20" ht="23.15" customHeight="1" x14ac:dyDescent="0.35">
      <c r="A17" s="145"/>
      <c r="B17" s="19" t="s">
        <v>14</v>
      </c>
      <c r="C17" s="20">
        <v>40</v>
      </c>
      <c r="D17" s="113" t="str">
        <f>IFERROR(AVERAGE(BDD!I16:O16),"")</f>
        <v/>
      </c>
      <c r="E17" s="16" t="str" cm="1">
        <f t="array" aca="1" ref="E17" ca="1" xml:space="preserve"> CELL("contenu",D17)</f>
        <v/>
      </c>
      <c r="I17" s="197"/>
      <c r="J17" s="94"/>
      <c r="K17" s="32"/>
      <c r="M17" s="38"/>
      <c r="N17" s="174"/>
      <c r="O17" s="136"/>
      <c r="P17" s="175"/>
      <c r="Q17" s="179"/>
      <c r="R17" s="187"/>
      <c r="S17" s="140"/>
      <c r="T17" s="37"/>
    </row>
    <row r="18" spans="1:20" x14ac:dyDescent="0.35">
      <c r="A18" s="7"/>
      <c r="B18" s="3"/>
      <c r="C18" s="6"/>
      <c r="D18" s="112"/>
      <c r="E18" s="16"/>
      <c r="I18" s="13"/>
      <c r="M18" s="38"/>
      <c r="N18" s="176"/>
      <c r="O18" s="162"/>
      <c r="P18" s="163"/>
      <c r="Q18" s="181"/>
      <c r="R18" s="188"/>
      <c r="S18" s="140"/>
      <c r="T18" s="37"/>
    </row>
    <row r="19" spans="1:20" ht="23.15" customHeight="1" x14ac:dyDescent="0.35">
      <c r="A19" s="146" t="s">
        <v>15</v>
      </c>
      <c r="B19" s="21" t="s">
        <v>16</v>
      </c>
      <c r="C19" s="22">
        <v>15</v>
      </c>
      <c r="D19" s="111" t="str">
        <f>IFERROR(AVERAGE(BDD!I17:O17),"")</f>
        <v/>
      </c>
      <c r="E19" s="16" t="str" cm="1">
        <f t="array" aca="1" ref="E19" ca="1" xml:space="preserve"> CELL("contenu",D19)</f>
        <v/>
      </c>
      <c r="I19" s="190" t="str">
        <f>IFERROR(SUMPRODUCT(D19:D25,$C$19:$C$25)/SUMIF(D19:D25,"&gt;=0",$C$19:$C$25),"Veuillez entrer des notes")</f>
        <v>Veuillez entrer des notes</v>
      </c>
      <c r="J19" s="93"/>
      <c r="K19" s="32"/>
      <c r="M19" s="38"/>
      <c r="T19" s="37"/>
    </row>
    <row r="20" spans="1:20" ht="23.15" customHeight="1" x14ac:dyDescent="0.35">
      <c r="A20" s="147"/>
      <c r="B20" s="21" t="s">
        <v>17</v>
      </c>
      <c r="C20" s="22">
        <v>15</v>
      </c>
      <c r="D20" s="111" t="str">
        <f>IFERROR(AVERAGE(BDD!I18:O18),"")</f>
        <v/>
      </c>
      <c r="E20" s="16" t="str" cm="1">
        <f t="array" aca="1" ref="E20" ca="1" xml:space="preserve"> CELL("contenu",D20)</f>
        <v/>
      </c>
      <c r="I20" s="191"/>
      <c r="J20" s="93"/>
      <c r="K20" s="32"/>
      <c r="M20" s="38"/>
      <c r="T20" s="37"/>
    </row>
    <row r="21" spans="1:20" ht="23.15" customHeight="1" x14ac:dyDescent="0.35">
      <c r="A21" s="147"/>
      <c r="B21" s="21" t="s">
        <v>18</v>
      </c>
      <c r="C21" s="22">
        <v>25</v>
      </c>
      <c r="D21" s="111" t="str">
        <f>IFERROR(AVERAGE(BDD!I19:O19),"")</f>
        <v/>
      </c>
      <c r="E21" s="16" t="str" cm="1">
        <f t="array" aca="1" ref="E21" ca="1" xml:space="preserve"> CELL("contenu",D21)</f>
        <v/>
      </c>
      <c r="I21" s="191"/>
      <c r="J21" s="93"/>
      <c r="K21" s="32"/>
      <c r="M21" s="38"/>
      <c r="N21" s="7"/>
      <c r="O21" s="13"/>
      <c r="T21" s="37"/>
    </row>
    <row r="22" spans="1:20" ht="23.15" customHeight="1" x14ac:dyDescent="0.35">
      <c r="A22" s="147"/>
      <c r="B22" s="23" t="s">
        <v>7</v>
      </c>
      <c r="C22" s="22">
        <v>5</v>
      </c>
      <c r="D22" s="111" t="str">
        <f>IFERROR(AVERAGE(BDD!I23:O23),"")</f>
        <v/>
      </c>
      <c r="E22" s="16" t="str" cm="1">
        <f t="array" aca="1" ref="E22" ca="1" xml:space="preserve"> CELL("contenu",D22)</f>
        <v/>
      </c>
      <c r="I22" s="191"/>
      <c r="J22" s="93"/>
      <c r="K22" s="32"/>
      <c r="M22" s="38"/>
      <c r="T22" s="37"/>
    </row>
    <row r="23" spans="1:20" ht="23.15" customHeight="1" x14ac:dyDescent="0.35">
      <c r="A23" s="147"/>
      <c r="B23" s="21" t="s">
        <v>19</v>
      </c>
      <c r="C23" s="22">
        <v>15</v>
      </c>
      <c r="D23" s="111" t="str">
        <f>IFERROR(AVERAGE(BDD!I20:O20),"")</f>
        <v/>
      </c>
      <c r="E23" s="16" t="str" cm="1">
        <f t="array" aca="1" ref="E23" ca="1" xml:space="preserve"> CELL("contenu",D23)</f>
        <v/>
      </c>
      <c r="I23" s="191"/>
      <c r="J23" s="93"/>
      <c r="K23" s="32"/>
      <c r="M23" s="38"/>
      <c r="N23" s="164" t="s">
        <v>10</v>
      </c>
      <c r="O23" s="165"/>
      <c r="P23" s="166"/>
      <c r="Q23" s="177">
        <f>IFERROR(AVERAGE(I13,I39),0)</f>
        <v>0</v>
      </c>
      <c r="R23" s="178"/>
      <c r="S23" s="140" t="str">
        <f>IFERROR(IF(ISTEXT(Q23),"0",IF(AVERAGE(I13,I39)&gt;=10,"1","0")),"Vous n'avez pas saisi tout les arguments nécessaires")</f>
        <v>Vous n'avez pas saisi tout les arguments nécessaires</v>
      </c>
      <c r="T23" s="37"/>
    </row>
    <row r="24" spans="1:20" ht="23.15" customHeight="1" x14ac:dyDescent="0.35">
      <c r="A24" s="147"/>
      <c r="B24" s="21" t="s">
        <v>20</v>
      </c>
      <c r="C24" s="22">
        <v>10</v>
      </c>
      <c r="D24" s="111" t="str">
        <f>IFERROR(AVERAGE(BDD!I21:O21),"")</f>
        <v/>
      </c>
      <c r="E24" s="16" t="str" cm="1">
        <f t="array" aca="1" ref="E24" ca="1" xml:space="preserve"> CELL("contenu",D24)</f>
        <v/>
      </c>
      <c r="I24" s="191"/>
      <c r="J24" s="93"/>
      <c r="K24" s="32"/>
      <c r="M24" s="38"/>
      <c r="N24" s="167"/>
      <c r="O24" s="168"/>
      <c r="P24" s="169"/>
      <c r="Q24" s="179"/>
      <c r="R24" s="180"/>
      <c r="S24" s="140"/>
      <c r="T24" s="37"/>
    </row>
    <row r="25" spans="1:20" ht="23.15" customHeight="1" x14ac:dyDescent="0.35">
      <c r="A25" s="148"/>
      <c r="B25" s="21" t="s">
        <v>21</v>
      </c>
      <c r="C25" s="22">
        <v>15</v>
      </c>
      <c r="D25" s="111" t="str">
        <f>IFERROR(AVERAGE(BDD!I22:O22),"")</f>
        <v/>
      </c>
      <c r="E25" s="16" t="str" cm="1">
        <f t="array" aca="1" ref="E25" ca="1" xml:space="preserve"> CELL("contenu",D25)</f>
        <v/>
      </c>
      <c r="I25" s="192"/>
      <c r="J25" s="93"/>
      <c r="K25" s="32"/>
      <c r="M25" s="38"/>
      <c r="N25" s="167"/>
      <c r="O25" s="168"/>
      <c r="P25" s="169"/>
      <c r="Q25" s="179"/>
      <c r="R25" s="180"/>
      <c r="S25" s="140"/>
      <c r="T25" s="37"/>
    </row>
    <row r="26" spans="1:20" ht="12.65" customHeight="1" x14ac:dyDescent="0.35">
      <c r="D26" s="112"/>
      <c r="E26" s="16"/>
      <c r="I26" s="13"/>
      <c r="M26" s="38"/>
      <c r="N26" s="167"/>
      <c r="O26" s="168"/>
      <c r="P26" s="169"/>
      <c r="Q26" s="179"/>
      <c r="R26" s="180"/>
      <c r="S26" s="140"/>
      <c r="T26" s="37"/>
    </row>
    <row r="27" spans="1:20" ht="28" customHeight="1" x14ac:dyDescent="0.35">
      <c r="D27" s="112"/>
      <c r="E27" s="16"/>
      <c r="I27" s="13"/>
      <c r="M27" s="38"/>
      <c r="N27" s="167"/>
      <c r="O27" s="168"/>
      <c r="P27" s="169"/>
      <c r="Q27" s="179"/>
      <c r="R27" s="180"/>
      <c r="S27" s="140"/>
      <c r="T27" s="37"/>
    </row>
    <row r="28" spans="1:20" ht="58.5" customHeight="1" x14ac:dyDescent="0.35">
      <c r="A28" s="198" t="s">
        <v>22</v>
      </c>
      <c r="B28" s="199"/>
      <c r="C28" s="47"/>
      <c r="D28" s="112"/>
      <c r="E28" s="16"/>
      <c r="I28" s="13"/>
      <c r="M28" s="38"/>
      <c r="N28" s="170"/>
      <c r="O28" s="156"/>
      <c r="P28" s="157"/>
      <c r="Q28" s="189"/>
      <c r="R28" s="182"/>
      <c r="S28" s="140"/>
      <c r="T28" s="37"/>
    </row>
    <row r="29" spans="1:20" ht="23.15" customHeight="1" x14ac:dyDescent="0.35">
      <c r="A29" s="149" t="s">
        <v>3</v>
      </c>
      <c r="B29" s="24" t="s">
        <v>23</v>
      </c>
      <c r="C29" s="48">
        <v>10</v>
      </c>
      <c r="D29" s="111" t="str">
        <f>IFERROR(AVERAGE(BDD!I24:O24),"")</f>
        <v/>
      </c>
      <c r="E29" s="16" t="str" cm="1">
        <f t="array" aca="1" ref="E29" ca="1" xml:space="preserve"> CELL("contenu",D29)</f>
        <v/>
      </c>
      <c r="I29" s="200" t="str">
        <f>IFERROR(SUMPRODUCT(D29:D37,$C$29:$C$37)/SUMIF(D29:D37,"&gt;=0",$C$29:$C$37),"Veuillez entrer des notes")</f>
        <v>Veuillez entrer des notes</v>
      </c>
      <c r="J29" s="93"/>
      <c r="K29" s="32"/>
      <c r="M29" s="38"/>
      <c r="T29" s="37"/>
    </row>
    <row r="30" spans="1:20" ht="23.15" customHeight="1" x14ac:dyDescent="0.35">
      <c r="A30" s="150"/>
      <c r="B30" s="24" t="s">
        <v>24</v>
      </c>
      <c r="C30" s="25">
        <v>15</v>
      </c>
      <c r="D30" s="111" t="str">
        <f>IFERROR(AVERAGE(BDD!I25:O25),"")</f>
        <v/>
      </c>
      <c r="E30" s="16" t="str" cm="1">
        <f t="array" aca="1" ref="E30" ca="1" xml:space="preserve"> CELL("contenu",D30)</f>
        <v/>
      </c>
      <c r="I30" s="201"/>
      <c r="J30" s="93"/>
      <c r="K30" s="32"/>
      <c r="M30" s="38"/>
      <c r="T30" s="37"/>
    </row>
    <row r="31" spans="1:20" ht="23.15" customHeight="1" x14ac:dyDescent="0.35">
      <c r="A31" s="150"/>
      <c r="B31" s="24" t="s">
        <v>25</v>
      </c>
      <c r="C31" s="25">
        <v>15</v>
      </c>
      <c r="D31" s="111" t="str">
        <f>IFERROR(AVERAGE(BDD!I26:O26),"")</f>
        <v/>
      </c>
      <c r="E31" s="16" t="str" cm="1">
        <f t="array" aca="1" ref="E31" ca="1" xml:space="preserve"> CELL("contenu",D31)</f>
        <v/>
      </c>
      <c r="I31" s="201"/>
      <c r="J31" s="93"/>
      <c r="K31" s="32"/>
      <c r="M31" s="38"/>
      <c r="T31" s="37"/>
    </row>
    <row r="32" spans="1:20" ht="23.15" customHeight="1" x14ac:dyDescent="0.35">
      <c r="A32" s="150"/>
      <c r="B32" s="24" t="s">
        <v>26</v>
      </c>
      <c r="C32" s="25">
        <v>15</v>
      </c>
      <c r="D32" s="111" t="str">
        <f>IFERROR(AVERAGE(BDD!I27:O27),"")</f>
        <v/>
      </c>
      <c r="E32" s="16" t="str" cm="1">
        <f t="array" aca="1" ref="E32" ca="1" xml:space="preserve"> CELL("contenu",D32)</f>
        <v/>
      </c>
      <c r="I32" s="201"/>
      <c r="J32" s="93"/>
      <c r="K32" s="32"/>
      <c r="M32" s="38"/>
      <c r="N32" s="183" t="s">
        <v>15</v>
      </c>
      <c r="O32" s="172"/>
      <c r="P32" s="173"/>
      <c r="Q32" s="177">
        <f>IFERROR(AVERAGE(I19,I50),0)</f>
        <v>0</v>
      </c>
      <c r="R32" s="178"/>
      <c r="S32" s="140" t="str">
        <f>IFERROR(IF(ISTEXT(Q32),"0",IF(AVERAGE(I19,I50)&gt;=10,"1","0")),"Vous n'avez pas saisi tout les arguments nécessaires")</f>
        <v>Vous n'avez pas saisi tout les arguments nécessaires</v>
      </c>
      <c r="T32" s="37"/>
    </row>
    <row r="33" spans="1:20" ht="23.15" customHeight="1" x14ac:dyDescent="0.35">
      <c r="A33" s="150"/>
      <c r="B33" s="26" t="s">
        <v>27</v>
      </c>
      <c r="C33" s="25">
        <v>5</v>
      </c>
      <c r="D33" s="111" t="str">
        <f>IFERROR(AVERAGE(BDD!I39:LO39),"")</f>
        <v/>
      </c>
      <c r="E33" s="16" t="str" cm="1">
        <f t="array" aca="1" ref="E33" ca="1" xml:space="preserve"> CELL("contenu",D33)</f>
        <v/>
      </c>
      <c r="I33" s="201"/>
      <c r="J33" s="93"/>
      <c r="K33" s="32"/>
      <c r="M33" s="38"/>
      <c r="N33" s="184"/>
      <c r="O33" s="136"/>
      <c r="P33" s="175"/>
      <c r="Q33" s="179"/>
      <c r="R33" s="180"/>
      <c r="S33" s="140"/>
      <c r="T33" s="37"/>
    </row>
    <row r="34" spans="1:20" ht="23.15" customHeight="1" x14ac:dyDescent="0.35">
      <c r="A34" s="150"/>
      <c r="B34" s="24" t="s">
        <v>28</v>
      </c>
      <c r="C34" s="25">
        <v>10</v>
      </c>
      <c r="D34" s="111" t="str">
        <f>IFERROR(AVERAGE(BDD!I28:O28),"")</f>
        <v/>
      </c>
      <c r="E34" s="16" t="str" cm="1">
        <f t="array" aca="1" ref="E34" ca="1" xml:space="preserve"> CELL("contenu",D34)</f>
        <v/>
      </c>
      <c r="I34" s="201"/>
      <c r="J34" s="93"/>
      <c r="K34" s="32"/>
      <c r="M34" s="38"/>
      <c r="N34" s="184"/>
      <c r="O34" s="136"/>
      <c r="P34" s="175"/>
      <c r="Q34" s="179"/>
      <c r="R34" s="180"/>
      <c r="S34" s="140"/>
      <c r="T34" s="37"/>
    </row>
    <row r="35" spans="1:20" ht="23.15" customHeight="1" x14ac:dyDescent="0.35">
      <c r="A35" s="150"/>
      <c r="B35" s="26" t="s">
        <v>29</v>
      </c>
      <c r="C35" s="25">
        <v>5</v>
      </c>
      <c r="D35" s="111" t="str">
        <f>IFERROR(AVERAGE(BDD!I40:O40),"")</f>
        <v/>
      </c>
      <c r="E35" s="16" t="str" cm="1">
        <f t="array" aca="1" ref="E35" ca="1" xml:space="preserve"> CELL("contenu",D35)</f>
        <v/>
      </c>
      <c r="I35" s="201"/>
      <c r="J35" s="93"/>
      <c r="K35" s="32"/>
      <c r="M35" s="38"/>
      <c r="N35" s="184"/>
      <c r="O35" s="136"/>
      <c r="P35" s="175"/>
      <c r="Q35" s="179"/>
      <c r="R35" s="180"/>
      <c r="S35" s="140"/>
      <c r="T35" s="37"/>
    </row>
    <row r="36" spans="1:20" ht="23.15" customHeight="1" x14ac:dyDescent="0.35">
      <c r="A36" s="150"/>
      <c r="B36" s="26" t="s">
        <v>30</v>
      </c>
      <c r="C36" s="25">
        <v>20</v>
      </c>
      <c r="D36" s="111" t="str">
        <f>IFERROR(AVERAGE(BDD!I41:O41),"")</f>
        <v/>
      </c>
      <c r="E36" s="16" t="str" cm="1">
        <f t="array" aca="1" ref="E36" ca="1" xml:space="preserve"> CELL("contenu",D36)</f>
        <v/>
      </c>
      <c r="I36" s="201"/>
      <c r="J36" s="93"/>
      <c r="K36" s="32"/>
      <c r="M36" s="38"/>
      <c r="N36" s="184"/>
      <c r="O36" s="136"/>
      <c r="P36" s="175"/>
      <c r="Q36" s="179"/>
      <c r="R36" s="180"/>
      <c r="S36" s="140"/>
      <c r="T36" s="37"/>
    </row>
    <row r="37" spans="1:20" ht="23.15" customHeight="1" x14ac:dyDescent="0.35">
      <c r="A37" s="151"/>
      <c r="B37" s="26" t="s">
        <v>31</v>
      </c>
      <c r="C37" s="25">
        <v>5</v>
      </c>
      <c r="D37" s="111" t="str">
        <f>IFERROR(AVERAGE(BDD!I42:O42),"")</f>
        <v/>
      </c>
      <c r="E37" s="16" t="str" cm="1">
        <f t="array" aca="1" ref="E37" ca="1" xml:space="preserve"> CELL("contenu",D37)</f>
        <v/>
      </c>
      <c r="I37" s="202"/>
      <c r="J37" s="93"/>
      <c r="K37" s="32"/>
      <c r="M37" s="38"/>
      <c r="N37" s="184"/>
      <c r="O37" s="136"/>
      <c r="P37" s="175"/>
      <c r="Q37" s="179"/>
      <c r="R37" s="180"/>
      <c r="S37" s="140"/>
      <c r="T37" s="37"/>
    </row>
    <row r="38" spans="1:20" x14ac:dyDescent="0.35">
      <c r="A38" s="7"/>
      <c r="B38" s="11"/>
      <c r="C38" s="12"/>
      <c r="D38" s="112"/>
      <c r="E38" s="16"/>
      <c r="I38" s="13"/>
      <c r="M38" s="38"/>
      <c r="N38" s="185"/>
      <c r="O38" s="162"/>
      <c r="P38" s="163"/>
      <c r="Q38" s="181"/>
      <c r="R38" s="182"/>
      <c r="S38" s="140"/>
      <c r="T38" s="37"/>
    </row>
    <row r="39" spans="1:20" ht="23.15" customHeight="1" x14ac:dyDescent="0.35">
      <c r="A39" s="206" t="s">
        <v>10</v>
      </c>
      <c r="B39" s="27" t="s">
        <v>32</v>
      </c>
      <c r="C39" s="28">
        <v>10</v>
      </c>
      <c r="D39" s="111" t="str">
        <f>IFERROR(AVERAGE(BDD!I29:O29),"")</f>
        <v/>
      </c>
      <c r="E39" s="16" t="str" cm="1">
        <f t="array" aca="1" ref="E39" ca="1" xml:space="preserve"> CELL("contenu",D39)</f>
        <v/>
      </c>
      <c r="I39" s="203" t="str">
        <f>IFERROR(SUMPRODUCT(D39:D48,$C$39:$C$48)/SUMIF(D39:D48,"&gt;=0",$C$39:$C$48),"Veuillez entrer des notes")</f>
        <v>Veuillez entrer des notes</v>
      </c>
      <c r="J39" s="93"/>
      <c r="K39" s="32"/>
      <c r="M39" s="38"/>
      <c r="T39" s="37"/>
    </row>
    <row r="40" spans="1:20" ht="23.15" customHeight="1" x14ac:dyDescent="0.35">
      <c r="A40" s="207"/>
      <c r="B40" s="27" t="s">
        <v>33</v>
      </c>
      <c r="C40" s="28">
        <v>15</v>
      </c>
      <c r="D40" s="111" t="str">
        <f>IFERROR(AVERAGE(BDD!I30:O30),"")</f>
        <v/>
      </c>
      <c r="E40" s="16" t="str" cm="1">
        <f t="array" aca="1" ref="E40" ca="1" xml:space="preserve"> CELL("contenu",D40)</f>
        <v/>
      </c>
      <c r="I40" s="204"/>
      <c r="J40" s="93"/>
      <c r="K40" s="32"/>
      <c r="M40" s="38"/>
      <c r="T40" s="37"/>
    </row>
    <row r="41" spans="1:20" ht="23.15" customHeight="1" x14ac:dyDescent="0.35">
      <c r="A41" s="207"/>
      <c r="B41" s="27" t="s">
        <v>34</v>
      </c>
      <c r="C41" s="28">
        <v>15</v>
      </c>
      <c r="D41" s="111" t="str">
        <f>IFERROR(AVERAGE(BDD!I31:O31),"")</f>
        <v/>
      </c>
      <c r="E41" s="16" t="str" cm="1">
        <f t="array" aca="1" ref="E41" ca="1" xml:space="preserve"> CELL("contenu",D41)</f>
        <v/>
      </c>
      <c r="I41" s="204"/>
      <c r="J41" s="93"/>
      <c r="K41" s="32"/>
      <c r="M41" s="38"/>
      <c r="T41" s="37"/>
    </row>
    <row r="42" spans="1:20" ht="23.15" customHeight="1" x14ac:dyDescent="0.35">
      <c r="A42" s="207"/>
      <c r="B42" s="27" t="s">
        <v>35</v>
      </c>
      <c r="C42" s="28">
        <v>15</v>
      </c>
      <c r="D42" s="111" t="str">
        <f>IFERROR(AVERAGE(BDD!I32:O32),"")</f>
        <v/>
      </c>
      <c r="E42" s="16" t="str" cm="1">
        <f t="array" aca="1" ref="E42" ca="1" xml:space="preserve"> CELL("contenu",D42)</f>
        <v/>
      </c>
      <c r="I42" s="204"/>
      <c r="J42" s="93"/>
      <c r="K42" s="32"/>
      <c r="M42" s="38"/>
      <c r="N42" s="152" t="s">
        <v>37</v>
      </c>
      <c r="O42" s="153"/>
      <c r="P42" s="153"/>
      <c r="Q42" s="154"/>
      <c r="T42" s="37"/>
    </row>
    <row r="43" spans="1:20" ht="23.15" customHeight="1" x14ac:dyDescent="0.35">
      <c r="A43" s="207"/>
      <c r="B43" s="26" t="s">
        <v>27</v>
      </c>
      <c r="C43" s="28">
        <v>5</v>
      </c>
      <c r="D43" s="111" t="str">
        <f>IFERROR(AVERAGE(BDD!I39:O39),"")</f>
        <v/>
      </c>
      <c r="E43" s="16" t="str" cm="1">
        <f t="array" aca="1" ref="E43" ca="1" xml:space="preserve"> CELL("contenu",D43)</f>
        <v/>
      </c>
      <c r="I43" s="204"/>
      <c r="J43" s="93"/>
      <c r="K43" s="32"/>
      <c r="M43" s="38"/>
      <c r="N43" s="155"/>
      <c r="O43" s="156"/>
      <c r="P43" s="156"/>
      <c r="Q43" s="157"/>
      <c r="T43" s="37"/>
    </row>
    <row r="44" spans="1:20" ht="23.15" customHeight="1" x14ac:dyDescent="0.35">
      <c r="A44" s="207"/>
      <c r="B44" s="27" t="s">
        <v>36</v>
      </c>
      <c r="C44" s="28">
        <v>10</v>
      </c>
      <c r="D44" s="111" t="str">
        <f>IFERROR(AVERAGE(BDD!I33:O33),"")</f>
        <v/>
      </c>
      <c r="E44" s="16" t="str" cm="1">
        <f t="array" aca="1" ref="E44" ca="1" xml:space="preserve"> CELL("contenu",D44)</f>
        <v/>
      </c>
      <c r="I44" s="204"/>
      <c r="J44" s="93"/>
      <c r="K44" s="32"/>
      <c r="M44" s="38"/>
      <c r="N44" s="158" t="str">
        <f>IFERROR(IF(OR(AND(Q13&gt;=10,Q23&gt;=10,Q32&gt;8),AND(Q13&gt;=10,Q32&gt;=10,Q23&gt;8),AND(Q23&gt;=10,Q32&gt;=10,Q13&gt;8)),"Admis en deuxieme année","Refusé en deuxième année"),"Vous n'avez pas saisi tout les arguments nécessaires")</f>
        <v>Refusé en deuxième année</v>
      </c>
      <c r="O44" s="159"/>
      <c r="P44" s="159"/>
      <c r="Q44" s="160"/>
      <c r="T44" s="37"/>
    </row>
    <row r="45" spans="1:20" ht="23.15" customHeight="1" x14ac:dyDescent="0.35">
      <c r="A45" s="207"/>
      <c r="B45" s="27" t="s">
        <v>38</v>
      </c>
      <c r="C45" s="28">
        <v>10</v>
      </c>
      <c r="D45" s="111" t="str">
        <f>IFERROR(AVERAGE(BDD!I34:O34),"")</f>
        <v/>
      </c>
      <c r="E45" s="16" t="str" cm="1">
        <f t="array" aca="1" ref="E45" ca="1" xml:space="preserve"> CELL("contenu",D45)</f>
        <v/>
      </c>
      <c r="I45" s="204"/>
      <c r="J45" s="93"/>
      <c r="K45" s="32"/>
      <c r="M45" s="38"/>
      <c r="N45" s="161"/>
      <c r="O45" s="162"/>
      <c r="P45" s="162"/>
      <c r="Q45" s="163"/>
      <c r="T45" s="37"/>
    </row>
    <row r="46" spans="1:20" ht="23.15" customHeight="1" thickBot="1" x14ac:dyDescent="0.4">
      <c r="A46" s="207"/>
      <c r="B46" s="26" t="s">
        <v>29</v>
      </c>
      <c r="C46" s="28">
        <v>5</v>
      </c>
      <c r="D46" s="111" t="str">
        <f>IFERROR(AVERAGE(BDD!I40:O40),"")</f>
        <v/>
      </c>
      <c r="E46" s="16" t="str" cm="1">
        <f t="array" aca="1" ref="E46" ca="1" xml:space="preserve"> CELL("contenu",D46)</f>
        <v/>
      </c>
      <c r="I46" s="204"/>
      <c r="J46" s="93"/>
      <c r="K46" s="32"/>
      <c r="M46" s="40"/>
      <c r="N46" s="41"/>
      <c r="O46" s="41"/>
      <c r="P46" s="41"/>
      <c r="Q46" s="41"/>
      <c r="R46" s="41"/>
      <c r="S46" s="41"/>
      <c r="T46" s="42"/>
    </row>
    <row r="47" spans="1:20" ht="23.15" customHeight="1" x14ac:dyDescent="0.35">
      <c r="A47" s="207"/>
      <c r="B47" s="26" t="s">
        <v>30</v>
      </c>
      <c r="C47" s="28">
        <v>10</v>
      </c>
      <c r="D47" s="111" t="str">
        <f>IFERROR(AVERAGE(BDD!I41:O41),"")</f>
        <v/>
      </c>
      <c r="E47" s="16" t="str" cm="1">
        <f t="array" aca="1" ref="E47" ca="1" xml:space="preserve"> CELL("contenu",D47)</f>
        <v/>
      </c>
      <c r="I47" s="204"/>
      <c r="J47" s="93"/>
      <c r="K47" s="32"/>
    </row>
    <row r="48" spans="1:20" ht="23.15" customHeight="1" x14ac:dyDescent="0.35">
      <c r="A48" s="208"/>
      <c r="B48" s="26" t="s">
        <v>31</v>
      </c>
      <c r="C48" s="28">
        <v>5</v>
      </c>
      <c r="D48" s="111" t="str">
        <f>IFERROR(AVERAGE(BDD!I42:O42),"")</f>
        <v/>
      </c>
      <c r="E48" s="16" t="str" cm="1">
        <f t="array" aca="1" ref="E48" ca="1" xml:space="preserve"> CELL("contenu",D48)</f>
        <v/>
      </c>
      <c r="I48" s="205"/>
      <c r="J48" s="93"/>
      <c r="K48" s="32"/>
    </row>
    <row r="49" spans="1:10" x14ac:dyDescent="0.35">
      <c r="A49" s="7"/>
      <c r="B49" s="11"/>
      <c r="C49" s="12"/>
      <c r="D49" s="112"/>
      <c r="E49" s="16"/>
      <c r="I49" s="13"/>
    </row>
    <row r="50" spans="1:10" ht="23.15" customHeight="1" x14ac:dyDescent="0.35">
      <c r="A50" s="146" t="s">
        <v>15</v>
      </c>
      <c r="B50" s="21" t="s">
        <v>39</v>
      </c>
      <c r="C50" s="22">
        <v>15</v>
      </c>
      <c r="D50" s="111" t="str">
        <f>IFERROR(AVERAGE(BDD!I35:O35),"")</f>
        <v/>
      </c>
      <c r="E50" s="16" t="str" cm="1">
        <f t="array" aca="1" ref="E50" ca="1" xml:space="preserve"> CELL("contenu",D50)</f>
        <v/>
      </c>
      <c r="I50" s="190" t="str">
        <f>IFERROR(SUMPRODUCT(D50:D57,$C$50:$C$57)/SUMIF(D50:D57,"&gt;=0",$C$50:$C$57),"Veuillez entrer des notes")</f>
        <v>Veuillez entrer des notes</v>
      </c>
      <c r="J50" s="93"/>
    </row>
    <row r="51" spans="1:10" ht="23.15" customHeight="1" x14ac:dyDescent="0.35">
      <c r="A51" s="147"/>
      <c r="B51" s="21" t="s">
        <v>40</v>
      </c>
      <c r="C51" s="22">
        <v>15</v>
      </c>
      <c r="D51" s="111" t="str">
        <f>IFERROR(AVERAGE(BDD!I36:O36),"")</f>
        <v/>
      </c>
      <c r="E51" s="16" t="str" cm="1">
        <f t="array" aca="1" ref="E51" ca="1" xml:space="preserve"> CELL("contenu",D51)</f>
        <v/>
      </c>
      <c r="I51" s="191"/>
      <c r="J51" s="93"/>
    </row>
    <row r="52" spans="1:10" ht="23.15" customHeight="1" x14ac:dyDescent="0.35">
      <c r="A52" s="147"/>
      <c r="B52" s="21" t="s">
        <v>41</v>
      </c>
      <c r="C52" s="22">
        <v>25</v>
      </c>
      <c r="D52" s="111" t="str">
        <f>IFERROR(AVERAGE(BDD!I37:O37),"")</f>
        <v/>
      </c>
      <c r="E52" s="16" t="str" cm="1">
        <f t="array" aca="1" ref="E52" ca="1" xml:space="preserve"> CELL("contenu",D52)</f>
        <v/>
      </c>
      <c r="I52" s="191"/>
      <c r="J52" s="93"/>
    </row>
    <row r="53" spans="1:10" ht="23.15" customHeight="1" x14ac:dyDescent="0.35">
      <c r="A53" s="147"/>
      <c r="B53" s="26" t="s">
        <v>27</v>
      </c>
      <c r="C53" s="22">
        <v>5</v>
      </c>
      <c r="D53" s="111" t="str">
        <f>IFERROR(AVERAGE(BDD!I39:O39),"")</f>
        <v/>
      </c>
      <c r="E53" s="16" t="str" cm="1">
        <f t="array" aca="1" ref="E53" ca="1" xml:space="preserve"> CELL("contenu",D53)</f>
        <v/>
      </c>
      <c r="I53" s="191"/>
      <c r="J53" s="93"/>
    </row>
    <row r="54" spans="1:10" ht="23.15" customHeight="1" x14ac:dyDescent="0.35">
      <c r="A54" s="147"/>
      <c r="B54" s="21" t="s">
        <v>29</v>
      </c>
      <c r="C54" s="22">
        <v>5</v>
      </c>
      <c r="D54" s="111" t="str">
        <f>IFERROR(AVERAGE(BDD!I40:O40),"")</f>
        <v/>
      </c>
      <c r="E54" s="16" t="str" cm="1">
        <f t="array" aca="1" ref="E54" ca="1" xml:space="preserve"> CELL("contenu",D54)</f>
        <v/>
      </c>
      <c r="I54" s="191"/>
      <c r="J54" s="93"/>
    </row>
    <row r="55" spans="1:10" ht="23.15" customHeight="1" x14ac:dyDescent="0.35">
      <c r="A55" s="147"/>
      <c r="B55" s="21" t="s">
        <v>42</v>
      </c>
      <c r="C55" s="22">
        <v>10</v>
      </c>
      <c r="D55" s="111" t="str">
        <f>IFERROR(AVERAGE(BDD!I38:O38),"")</f>
        <v/>
      </c>
      <c r="E55" s="16" t="str" cm="1">
        <f t="array" aca="1" ref="E55" ca="1" xml:space="preserve"> CELL("contenu",D55)</f>
        <v/>
      </c>
      <c r="I55" s="191"/>
      <c r="J55" s="93"/>
    </row>
    <row r="56" spans="1:10" ht="23.15" customHeight="1" x14ac:dyDescent="0.35">
      <c r="A56" s="147"/>
      <c r="B56" s="26" t="s">
        <v>30</v>
      </c>
      <c r="C56" s="22">
        <v>20</v>
      </c>
      <c r="D56" s="111" t="str">
        <f>IFERROR(AVERAGE(BDD!H41:O41),"")</f>
        <v/>
      </c>
      <c r="E56" s="16" t="str" cm="1">
        <f t="array" aca="1" ref="E56" ca="1" xml:space="preserve"> CELL("contenu",D56)</f>
        <v/>
      </c>
      <c r="I56" s="191"/>
      <c r="J56" s="93"/>
    </row>
    <row r="57" spans="1:10" ht="23.15" customHeight="1" x14ac:dyDescent="0.35">
      <c r="A57" s="148"/>
      <c r="B57" s="26" t="s">
        <v>31</v>
      </c>
      <c r="C57" s="22">
        <v>5</v>
      </c>
      <c r="D57" s="111" t="str">
        <f>IFERROR(AVERAGE(BDD!H42:O42),"")</f>
        <v/>
      </c>
      <c r="E57" s="16" t="str" cm="1">
        <f t="array" aca="1" ref="E57" ca="1" xml:space="preserve"> CELL("contenu",D57)</f>
        <v/>
      </c>
      <c r="I57" s="192"/>
      <c r="J57" s="93"/>
    </row>
    <row r="58" spans="1:10" x14ac:dyDescent="0.35">
      <c r="D58" s="16"/>
    </row>
    <row r="59" spans="1:10" x14ac:dyDescent="0.35">
      <c r="A59"/>
      <c r="D59"/>
    </row>
    <row r="60" spans="1:10" ht="23.15" customHeight="1" x14ac:dyDescent="0.35">
      <c r="A60"/>
    </row>
    <row r="61" spans="1:10" ht="23.15" customHeight="1" x14ac:dyDescent="0.35">
      <c r="A61"/>
    </row>
    <row r="62" spans="1:10" ht="23.15" customHeight="1" x14ac:dyDescent="0.35">
      <c r="A62"/>
    </row>
    <row r="63" spans="1:10" ht="23.15" customHeight="1" x14ac:dyDescent="0.35">
      <c r="A63"/>
    </row>
    <row r="64" spans="1:10" ht="23.15" customHeight="1" x14ac:dyDescent="0.35">
      <c r="A64"/>
    </row>
    <row r="65" spans="1:8" ht="23.15" customHeight="1" x14ac:dyDescent="0.35">
      <c r="A65"/>
    </row>
    <row r="66" spans="1:8" x14ac:dyDescent="0.35">
      <c r="A66"/>
    </row>
    <row r="67" spans="1:8" ht="23.15" customHeight="1" x14ac:dyDescent="0.35">
      <c r="A67"/>
    </row>
    <row r="68" spans="1:8" ht="23.15" customHeight="1" x14ac:dyDescent="0.35">
      <c r="A68"/>
    </row>
    <row r="69" spans="1:8" ht="23.15" customHeight="1" x14ac:dyDescent="0.35">
      <c r="A69"/>
    </row>
    <row r="70" spans="1:8" ht="23.15" customHeight="1" x14ac:dyDescent="0.35">
      <c r="A70"/>
    </row>
    <row r="71" spans="1:8" ht="23.15" customHeight="1" x14ac:dyDescent="0.35">
      <c r="A71"/>
    </row>
    <row r="72" spans="1:8" x14ac:dyDescent="0.35">
      <c r="A72"/>
    </row>
    <row r="73" spans="1:8" ht="23.15" customHeight="1" x14ac:dyDescent="0.35">
      <c r="A73"/>
    </row>
    <row r="74" spans="1:8" ht="23.15" customHeight="1" x14ac:dyDescent="0.35">
      <c r="A74"/>
    </row>
    <row r="75" spans="1:8" ht="23.15" customHeight="1" x14ac:dyDescent="0.35">
      <c r="A75"/>
    </row>
    <row r="76" spans="1:8" ht="23.15" customHeight="1" x14ac:dyDescent="0.35">
      <c r="A76"/>
      <c r="H76" s="29"/>
    </row>
    <row r="77" spans="1:8" ht="23.15" customHeight="1" x14ac:dyDescent="0.35">
      <c r="A77"/>
    </row>
    <row r="78" spans="1:8" ht="23.15" customHeight="1" x14ac:dyDescent="0.35">
      <c r="A78"/>
    </row>
    <row r="79" spans="1:8" ht="23.15" customHeight="1" x14ac:dyDescent="0.35">
      <c r="A79"/>
    </row>
  </sheetData>
  <mergeCells count="27">
    <mergeCell ref="I50:I57"/>
    <mergeCell ref="I6:I11"/>
    <mergeCell ref="I13:I17"/>
    <mergeCell ref="I19:I25"/>
    <mergeCell ref="A28:B28"/>
    <mergeCell ref="I29:I37"/>
    <mergeCell ref="I39:I48"/>
    <mergeCell ref="A50:A57"/>
    <mergeCell ref="A6:A11"/>
    <mergeCell ref="A39:A48"/>
    <mergeCell ref="N42:Q43"/>
    <mergeCell ref="N44:Q45"/>
    <mergeCell ref="N23:P28"/>
    <mergeCell ref="N13:P18"/>
    <mergeCell ref="Q32:R38"/>
    <mergeCell ref="N32:P38"/>
    <mergeCell ref="Q13:R18"/>
    <mergeCell ref="Q23:R28"/>
    <mergeCell ref="A1:B4"/>
    <mergeCell ref="Q12:R12"/>
    <mergeCell ref="S13:S18"/>
    <mergeCell ref="S23:S28"/>
    <mergeCell ref="S32:S38"/>
    <mergeCell ref="A5:B5"/>
    <mergeCell ref="A13:A17"/>
    <mergeCell ref="A19:A25"/>
    <mergeCell ref="A29:A37"/>
  </mergeCells>
  <conditionalFormatting sqref="S13:S18 S23 S32">
    <cfRule type="cellIs" dxfId="1" priority="1" operator="equal">
      <formula>"1"</formula>
    </cfRule>
    <cfRule type="cellIs" dxfId="0" priority="2" operator="equal">
      <formula>"0"</formula>
    </cfRule>
  </conditionalFormatting>
  <hyperlinks>
    <hyperlink ref="D6" location="BDD!I8" display="BDD!I8" xr:uid="{0B4A6AFA-D82A-46B8-8561-65AE787543F6}"/>
    <hyperlink ref="D7" location="BDD!I9" display="BDD!I9" xr:uid="{C5A29A79-7037-4C98-8A93-AD0418FA0964}"/>
    <hyperlink ref="D8" location="BDD!I10" display="BDD!I10" xr:uid="{890E2371-6302-4ED9-8A72-0B613A7111E5}"/>
    <hyperlink ref="D10" location="BDD!I11" display="BDD!I11" xr:uid="{0D251991-5578-4343-8957-DF7609645A21}"/>
    <hyperlink ref="D11" location="BDD!I12" display="BDD!I12" xr:uid="{15CCE63E-629C-4412-AAEE-102CA8F9DF6D}"/>
    <hyperlink ref="D13" location="BDD!I13" display="BDD!I13" xr:uid="{9DA1433D-6C78-455B-82B5-3692605EB99E}"/>
    <hyperlink ref="D14" location="BDD!I14" display="BDD!I14" xr:uid="{4198B859-CDD0-417B-8AFD-021EDA9868A9}"/>
    <hyperlink ref="D15" location="BDD!I15" display="BDD!I15" xr:uid="{97A76ED3-0F26-4A81-B93D-68E8F83A4698}"/>
    <hyperlink ref="D16" location="BDD!I23" display="BDD!I23" xr:uid="{CFFFB090-ADBD-4010-A3C9-FAA378CC1D37}"/>
    <hyperlink ref="D19" location="BDD!I17" display="BDD!I17" xr:uid="{73D6868A-5D7E-41BC-837B-749B60758529}"/>
    <hyperlink ref="D20" location="BDD!I18" display="BDD!I18" xr:uid="{BE5ECD8F-F7E2-4851-AB54-D302A32C66CB}"/>
    <hyperlink ref="D21" location="BDD!I19" display="BDD!I19" xr:uid="{56D0C911-B742-4AC6-8B7E-03CBEB8066BA}"/>
    <hyperlink ref="D22" location="BDD!I23" display="BDD!I23" xr:uid="{AB1DC45B-B70B-4955-8F56-F1438EC200CA}"/>
    <hyperlink ref="D23" location="BDD!I20" display="BDD!I20" xr:uid="{A495A790-E85E-40B8-88DC-1CB667AFF014}"/>
    <hyperlink ref="D24" location="BDD!I21" display="BDD!I21" xr:uid="{3F24E674-3CF1-497A-A3F5-6AA5A00519CA}"/>
    <hyperlink ref="D25" location="BDD!I22" display="BDD!I22" xr:uid="{9B9F616D-C306-49EF-8CCB-6EDBAB4BCC4E}"/>
    <hyperlink ref="D29" location="BDD!I24" display="BDD!I24" xr:uid="{187324C4-09D7-41FF-8965-5AE9207CDAC2}"/>
    <hyperlink ref="D30" location="BDD!I25" display="BDD!I25" xr:uid="{D0B6BB47-F19D-4F07-931B-A7B224118320}"/>
    <hyperlink ref="D31" location="BDD!I26" display="BDD!I26" xr:uid="{E730B70F-CD67-4FF5-9DDD-A08B8D922C75}"/>
    <hyperlink ref="D32" location="BDD!I27" display="BDD!I27" xr:uid="{775A5B5F-C11F-49BD-BEC8-0A960D5003DD}"/>
    <hyperlink ref="D33" location="BDD!I39" display="BDD!I39" xr:uid="{A75F5D88-4E74-4C5A-ABA8-32E0831C2B31}"/>
    <hyperlink ref="D34" location="BDD!I28" display="BDD!I28" xr:uid="{11FF8010-4BFF-4728-AF6E-1DF7B9469461}"/>
    <hyperlink ref="D35" location="BDD!I40" display="BDD!I40" xr:uid="{EB07D01E-2CA8-4238-9185-B315234D1055}"/>
    <hyperlink ref="D36" location="BDD!I41" display="BDD!I41" xr:uid="{4729E613-F4BF-41D8-A0C4-A3561343E019}"/>
    <hyperlink ref="D37" location="BDD!I42" display="BDD!I42" xr:uid="{E88897DB-C2C8-4D22-805D-B025E19E1F55}"/>
    <hyperlink ref="D39" location="BDD!I29" display="BDD!I29" xr:uid="{13D2D0E7-D468-4290-A9CD-95F7B3389314}"/>
    <hyperlink ref="D40" location="BDD!I30" display="BDD!I30" xr:uid="{98C37773-F487-4CAE-98EF-75E83D6F2537}"/>
    <hyperlink ref="D41" location="BDD!I31" display="BDD!I31" xr:uid="{39C915EE-39A7-49A0-8D1E-CF1892444E94}"/>
    <hyperlink ref="D42" location="BDD!I32" display="BDD!I32" xr:uid="{15D75CE2-E53A-4F10-A5B2-21CADE53D438}"/>
    <hyperlink ref="D43" location="BDD!I39" display="BDD!I39" xr:uid="{019BB090-5EDC-4FE1-B8B6-FA42C46FC2F9}"/>
    <hyperlink ref="D44" location="BDD!I33" display="BDD!I33" xr:uid="{3C22F1E2-BD0B-405B-9BC1-3AA7F49F5B57}"/>
    <hyperlink ref="D45" location="BDD!I34" display="BDD!I34" xr:uid="{AF6C1196-365D-4DCC-93C7-6DEFCE8B01B3}"/>
    <hyperlink ref="D46" location="BDD!I40" display="BDD!I40" xr:uid="{67DF5F71-9CB9-4A6F-93DB-E3CB764C99A3}"/>
    <hyperlink ref="D47" location="BDD!I41" display="BDD!I41" xr:uid="{9F9B0B7B-78D5-468C-90A4-A50C9D81F75A}"/>
    <hyperlink ref="D48" location="BDD!I42" display="BDD!I42" xr:uid="{E031DD35-1C80-40F4-A81C-8D1790B5CBA9}"/>
    <hyperlink ref="D50" location="BDD!I35" display="BDD!I35" xr:uid="{BA69B5A5-EFDF-463A-9E6C-6CDEF0E00585}"/>
    <hyperlink ref="D51" location="BDD!I36" display="BDD!I36" xr:uid="{83BE4691-97DA-43E8-8A5B-18914752F9A2}"/>
    <hyperlink ref="D52" location="BDD!I37" display="BDD!I37" xr:uid="{9862A928-CEEC-47DB-8E77-10E96C3A0F3F}"/>
    <hyperlink ref="D53" location="BDD!I39" display="BDD!I39" xr:uid="{5AEA3B9F-040D-465B-A662-61924456A393}"/>
    <hyperlink ref="D54" location="BDD!I40" display="BDD!I40" xr:uid="{D0E1CEBF-23B7-4D70-8CDF-403BF9D3DCCC}"/>
    <hyperlink ref="D55" location="BDD!I38" display="BDD!I38" xr:uid="{150DD7EB-416B-4055-8513-7BB53757FE3C}"/>
    <hyperlink ref="D56" location="BDD!I41" display="BDD!I41" xr:uid="{0F8E4C00-5BB5-4A58-A4AE-CC5695A50215}"/>
    <hyperlink ref="D57" location="BDD!I42" display="BDD!I42" xr:uid="{E853B9BE-06C0-433A-9F67-74B5E53F2EC0}"/>
    <hyperlink ref="D17" location="BDD!I16" display="BDD!I16" xr:uid="{6797DB4B-2275-40D5-AC2D-A6B8BA61F1ED}"/>
    <hyperlink ref="D9" location="BDD!I11" display="BDD!I11" xr:uid="{41D201FB-68A1-4FD3-8E80-24CE83F70FBB}"/>
  </hyperlinks>
  <pageMargins left="0.7" right="0.7" top="0.75" bottom="0.75" header="0.3" footer="0.3"/>
  <pageSetup paperSize="9" scale="87" orientation="portrait" r:id="rId1"/>
  <drawing r:id="rId2"/>
  <legacyDrawing r:id="rId3"/>
  <controls>
    <mc:AlternateContent xmlns:mc="http://schemas.openxmlformats.org/markup-compatibility/2006">
      <mc:Choice Requires="x14">
        <control shapeId="8197" r:id="rId4" name="btxObjectif">
          <controlPr defaultSize="0" autoLine="0" r:id="rId5">
            <anchor moveWithCells="1">
              <from>
                <xdr:col>8</xdr:col>
                <xdr:colOff>1162050</xdr:colOff>
                <xdr:row>0</xdr:row>
                <xdr:rowOff>0</xdr:rowOff>
              </from>
              <to>
                <xdr:col>10</xdr:col>
                <xdr:colOff>336550</xdr:colOff>
                <xdr:row>3</xdr:row>
                <xdr:rowOff>69850</xdr:rowOff>
              </to>
            </anchor>
          </controlPr>
        </control>
      </mc:Choice>
      <mc:Fallback>
        <control shapeId="8197" r:id="rId4" name="btxObjectif"/>
      </mc:Fallback>
    </mc:AlternateContent>
    <mc:AlternateContent xmlns:mc="http://schemas.openxmlformats.org/markup-compatibility/2006">
      <mc:Choice Requires="x14">
        <control shapeId="8193" r:id="rId6" name="btxActver">
          <controlPr defaultSize="0" autoLine="0" r:id="rId7">
            <anchor moveWithCells="1">
              <from>
                <xdr:col>3</xdr:col>
                <xdr:colOff>69850</xdr:colOff>
                <xdr:row>0</xdr:row>
                <xdr:rowOff>50800</xdr:rowOff>
              </from>
              <to>
                <xdr:col>3</xdr:col>
                <xdr:colOff>2381250</xdr:colOff>
                <xdr:row>3</xdr:row>
                <xdr:rowOff>95250</xdr:rowOff>
              </to>
            </anchor>
          </controlPr>
        </control>
      </mc:Choice>
      <mc:Fallback>
        <control shapeId="8193" r:id="rId6" name="btxActver"/>
      </mc:Fallback>
    </mc:AlternateContent>
    <mc:AlternateContent xmlns:mc="http://schemas.openxmlformats.org/markup-compatibility/2006">
      <mc:Choice Requires="x14">
        <control shapeId="8195" r:id="rId8" name="btxEffacer">
          <controlPr defaultSize="0" autoLine="0" autoPict="0" r:id="rId9">
            <anchor moveWithCells="1">
              <from>
                <xdr:col>7</xdr:col>
                <xdr:colOff>984250</xdr:colOff>
                <xdr:row>0</xdr:row>
                <xdr:rowOff>12700</xdr:rowOff>
              </from>
              <to>
                <xdr:col>7</xdr:col>
                <xdr:colOff>3594100</xdr:colOff>
                <xdr:row>3</xdr:row>
                <xdr:rowOff>57150</xdr:rowOff>
              </to>
            </anchor>
          </controlPr>
        </control>
      </mc:Choice>
      <mc:Fallback>
        <control shapeId="8195" r:id="rId8" name="btxEffacer"/>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C806B54-6EF2-4188-8C2C-F252D6107762}">
          <x14:formula1>
            <xm:f>'competences STID'!$B$2:$B$4</xm:f>
          </x14:formula1>
          <xm:sqref>F3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C300E-C453-45F3-B6DA-049A73F93E2F}">
  <sheetPr codeName="Feuil6">
    <tabColor theme="4" tint="0.79998168889431442"/>
  </sheetPr>
  <dimension ref="A7:H42"/>
  <sheetViews>
    <sheetView zoomScaleNormal="100" workbookViewId="0">
      <selection activeCell="D19" sqref="D19"/>
    </sheetView>
  </sheetViews>
  <sheetFormatPr baseColWidth="10" defaultRowHeight="14.5" x14ac:dyDescent="0.35"/>
  <cols>
    <col min="5" max="5" width="9.453125" bestFit="1" customWidth="1"/>
    <col min="6" max="6" width="52.453125" bestFit="1" customWidth="1"/>
    <col min="7" max="7" width="88.26953125" bestFit="1" customWidth="1"/>
    <col min="8" max="8" width="12" bestFit="1" customWidth="1"/>
  </cols>
  <sheetData>
    <row r="7" spans="1:8" x14ac:dyDescent="0.35">
      <c r="E7" s="88" t="s">
        <v>43</v>
      </c>
      <c r="F7" s="14" t="s">
        <v>44</v>
      </c>
      <c r="G7" s="14" t="s">
        <v>45</v>
      </c>
      <c r="H7" s="89" t="s">
        <v>59</v>
      </c>
    </row>
    <row r="8" spans="1:8" x14ac:dyDescent="0.35">
      <c r="E8" s="88">
        <v>1</v>
      </c>
      <c r="F8" s="14" t="s">
        <v>47</v>
      </c>
      <c r="G8" s="14" t="s">
        <v>4</v>
      </c>
      <c r="H8" s="87">
        <f>IF(AND($A$14=E8,$B$14=F8,$C$14=G8),$D$14,"")</f>
        <v>16.670000000000002</v>
      </c>
    </row>
    <row r="9" spans="1:8" x14ac:dyDescent="0.35">
      <c r="E9" s="88">
        <v>1</v>
      </c>
      <c r="F9" s="14" t="s">
        <v>47</v>
      </c>
      <c r="G9" s="14" t="s">
        <v>5</v>
      </c>
      <c r="H9" s="87" t="str">
        <f t="shared" ref="H9:H42" si="0">IF(AND($A$14=E9,$B$14=F9,$C$14=G9),$D$14,"")</f>
        <v/>
      </c>
    </row>
    <row r="10" spans="1:8" x14ac:dyDescent="0.35">
      <c r="E10" s="88">
        <v>1</v>
      </c>
      <c r="F10" s="14" t="s">
        <v>47</v>
      </c>
      <c r="G10" s="14" t="s">
        <v>6</v>
      </c>
      <c r="H10" s="87" t="str">
        <f t="shared" si="0"/>
        <v/>
      </c>
    </row>
    <row r="11" spans="1:8" x14ac:dyDescent="0.35">
      <c r="E11" s="88">
        <v>1</v>
      </c>
      <c r="F11" s="14" t="s">
        <v>47</v>
      </c>
      <c r="G11" s="14" t="s">
        <v>8</v>
      </c>
      <c r="H11" s="87" t="str">
        <f t="shared" si="0"/>
        <v/>
      </c>
    </row>
    <row r="12" spans="1:8" x14ac:dyDescent="0.35">
      <c r="E12" s="88">
        <v>1</v>
      </c>
      <c r="F12" s="14" t="s">
        <v>47</v>
      </c>
      <c r="G12" s="14" t="s">
        <v>9</v>
      </c>
      <c r="H12" s="87" t="str">
        <f t="shared" si="0"/>
        <v/>
      </c>
    </row>
    <row r="13" spans="1:8" x14ac:dyDescent="0.35">
      <c r="E13" s="88">
        <v>1</v>
      </c>
      <c r="F13" s="14" t="s">
        <v>48</v>
      </c>
      <c r="G13" s="14" t="s">
        <v>11</v>
      </c>
      <c r="H13" s="87" t="str">
        <f t="shared" si="0"/>
        <v/>
      </c>
    </row>
    <row r="14" spans="1:8" x14ac:dyDescent="0.35">
      <c r="A14">
        <v>1</v>
      </c>
      <c r="B14" t="s">
        <v>47</v>
      </c>
      <c r="C14" t="s">
        <v>4</v>
      </c>
      <c r="D14" s="92">
        <v>16.670000000000002</v>
      </c>
      <c r="E14" s="88">
        <v>1</v>
      </c>
      <c r="F14" s="14" t="s">
        <v>48</v>
      </c>
      <c r="G14" s="14" t="s">
        <v>12</v>
      </c>
      <c r="H14" s="87" t="str">
        <f t="shared" si="0"/>
        <v/>
      </c>
    </row>
    <row r="15" spans="1:8" x14ac:dyDescent="0.35">
      <c r="E15" s="88">
        <v>1</v>
      </c>
      <c r="F15" s="14" t="s">
        <v>48</v>
      </c>
      <c r="G15" s="14" t="s">
        <v>13</v>
      </c>
      <c r="H15" s="87" t="str">
        <f t="shared" si="0"/>
        <v/>
      </c>
    </row>
    <row r="16" spans="1:8" x14ac:dyDescent="0.35">
      <c r="E16" s="88">
        <v>1</v>
      </c>
      <c r="F16" s="14" t="s">
        <v>48</v>
      </c>
      <c r="G16" s="14" t="s">
        <v>14</v>
      </c>
      <c r="H16" s="87" t="str">
        <f t="shared" si="0"/>
        <v/>
      </c>
    </row>
    <row r="17" spans="5:8" x14ac:dyDescent="0.35">
      <c r="E17" s="88">
        <v>1</v>
      </c>
      <c r="F17" s="14" t="s">
        <v>49</v>
      </c>
      <c r="G17" s="14" t="s">
        <v>16</v>
      </c>
      <c r="H17" s="87" t="str">
        <f t="shared" si="0"/>
        <v/>
      </c>
    </row>
    <row r="18" spans="5:8" x14ac:dyDescent="0.35">
      <c r="E18" s="88">
        <v>1</v>
      </c>
      <c r="F18" s="14" t="s">
        <v>49</v>
      </c>
      <c r="G18" s="14" t="s">
        <v>17</v>
      </c>
      <c r="H18" s="87" t="str">
        <f t="shared" si="0"/>
        <v/>
      </c>
    </row>
    <row r="19" spans="5:8" x14ac:dyDescent="0.35">
      <c r="E19" s="88">
        <v>1</v>
      </c>
      <c r="F19" s="14" t="s">
        <v>49</v>
      </c>
      <c r="G19" s="14" t="s">
        <v>18</v>
      </c>
      <c r="H19" s="87" t="str">
        <f t="shared" si="0"/>
        <v/>
      </c>
    </row>
    <row r="20" spans="5:8" x14ac:dyDescent="0.35">
      <c r="E20" s="88">
        <v>1</v>
      </c>
      <c r="F20" s="14" t="s">
        <v>49</v>
      </c>
      <c r="G20" s="14" t="s">
        <v>19</v>
      </c>
      <c r="H20" s="87" t="str">
        <f t="shared" si="0"/>
        <v/>
      </c>
    </row>
    <row r="21" spans="5:8" x14ac:dyDescent="0.35">
      <c r="E21" s="85">
        <v>1</v>
      </c>
      <c r="F21" s="86" t="s">
        <v>49</v>
      </c>
      <c r="G21" s="86" t="s">
        <v>20</v>
      </c>
      <c r="H21" s="87" t="str">
        <f>IF(AND($A$14=E21,$B$14=F21,$C$14=G21),$D$14,"")</f>
        <v/>
      </c>
    </row>
    <row r="22" spans="5:8" x14ac:dyDescent="0.35">
      <c r="E22" s="90">
        <v>1</v>
      </c>
      <c r="F22" t="s">
        <v>49</v>
      </c>
      <c r="G22" t="s">
        <v>21</v>
      </c>
      <c r="H22" s="87" t="str">
        <f t="shared" si="0"/>
        <v/>
      </c>
    </row>
    <row r="23" spans="5:8" x14ac:dyDescent="0.35">
      <c r="E23" s="88">
        <v>1</v>
      </c>
      <c r="F23" s="14" t="s">
        <v>50</v>
      </c>
      <c r="G23" s="14" t="s">
        <v>7</v>
      </c>
      <c r="H23" s="87" t="str">
        <f t="shared" si="0"/>
        <v/>
      </c>
    </row>
    <row r="24" spans="5:8" x14ac:dyDescent="0.35">
      <c r="E24" s="88">
        <v>2</v>
      </c>
      <c r="F24" s="14" t="s">
        <v>47</v>
      </c>
      <c r="G24" s="14" t="s">
        <v>23</v>
      </c>
      <c r="H24" s="87" t="str">
        <f t="shared" si="0"/>
        <v/>
      </c>
    </row>
    <row r="25" spans="5:8" x14ac:dyDescent="0.35">
      <c r="E25" s="88">
        <v>2</v>
      </c>
      <c r="F25" s="14" t="s">
        <v>47</v>
      </c>
      <c r="G25" s="14" t="s">
        <v>24</v>
      </c>
      <c r="H25" s="87" t="str">
        <f t="shared" si="0"/>
        <v/>
      </c>
    </row>
    <row r="26" spans="5:8" x14ac:dyDescent="0.35">
      <c r="E26" s="90">
        <v>2</v>
      </c>
      <c r="F26" t="s">
        <v>47</v>
      </c>
      <c r="G26" t="s">
        <v>25</v>
      </c>
      <c r="H26" s="87" t="str">
        <f t="shared" si="0"/>
        <v/>
      </c>
    </row>
    <row r="27" spans="5:8" x14ac:dyDescent="0.35">
      <c r="E27" s="88">
        <v>2</v>
      </c>
      <c r="F27" s="14" t="s">
        <v>47</v>
      </c>
      <c r="G27" s="14" t="s">
        <v>26</v>
      </c>
      <c r="H27" s="87" t="str">
        <f t="shared" si="0"/>
        <v/>
      </c>
    </row>
    <row r="28" spans="5:8" x14ac:dyDescent="0.35">
      <c r="E28" s="90">
        <v>2</v>
      </c>
      <c r="F28" t="s">
        <v>47</v>
      </c>
      <c r="G28" t="s">
        <v>28</v>
      </c>
      <c r="H28" s="87" t="str">
        <f t="shared" si="0"/>
        <v/>
      </c>
    </row>
    <row r="29" spans="5:8" x14ac:dyDescent="0.35">
      <c r="E29" s="88">
        <v>2</v>
      </c>
      <c r="F29" s="14" t="s">
        <v>48</v>
      </c>
      <c r="G29" s="14" t="s">
        <v>32</v>
      </c>
      <c r="H29" s="87" t="str">
        <f t="shared" si="0"/>
        <v/>
      </c>
    </row>
    <row r="30" spans="5:8" x14ac:dyDescent="0.35">
      <c r="E30" s="90">
        <v>2</v>
      </c>
      <c r="F30" t="s">
        <v>48</v>
      </c>
      <c r="G30" t="s">
        <v>33</v>
      </c>
      <c r="H30" s="87" t="str">
        <f t="shared" si="0"/>
        <v/>
      </c>
    </row>
    <row r="31" spans="5:8" x14ac:dyDescent="0.35">
      <c r="E31" s="88">
        <v>2</v>
      </c>
      <c r="F31" s="14" t="s">
        <v>48</v>
      </c>
      <c r="G31" s="14" t="s">
        <v>34</v>
      </c>
      <c r="H31" s="87" t="str">
        <f t="shared" si="0"/>
        <v/>
      </c>
    </row>
    <row r="32" spans="5:8" x14ac:dyDescent="0.35">
      <c r="E32" s="90">
        <v>2</v>
      </c>
      <c r="F32" t="s">
        <v>48</v>
      </c>
      <c r="G32" t="s">
        <v>35</v>
      </c>
      <c r="H32" s="87" t="str">
        <f t="shared" si="0"/>
        <v/>
      </c>
    </row>
    <row r="33" spans="5:8" x14ac:dyDescent="0.35">
      <c r="E33" s="88">
        <v>2</v>
      </c>
      <c r="F33" s="14" t="s">
        <v>48</v>
      </c>
      <c r="G33" s="14" t="s">
        <v>36</v>
      </c>
      <c r="H33" s="87" t="str">
        <f t="shared" si="0"/>
        <v/>
      </c>
    </row>
    <row r="34" spans="5:8" x14ac:dyDescent="0.35">
      <c r="E34" s="90">
        <v>2</v>
      </c>
      <c r="F34" t="s">
        <v>48</v>
      </c>
      <c r="G34" t="s">
        <v>38</v>
      </c>
      <c r="H34" s="87" t="str">
        <f t="shared" si="0"/>
        <v/>
      </c>
    </row>
    <row r="35" spans="5:8" x14ac:dyDescent="0.35">
      <c r="E35" s="88">
        <v>2</v>
      </c>
      <c r="F35" s="14" t="s">
        <v>49</v>
      </c>
      <c r="G35" s="14" t="s">
        <v>39</v>
      </c>
      <c r="H35" s="87" t="str">
        <f t="shared" si="0"/>
        <v/>
      </c>
    </row>
    <row r="36" spans="5:8" x14ac:dyDescent="0.35">
      <c r="E36" s="90">
        <v>2</v>
      </c>
      <c r="F36" t="s">
        <v>49</v>
      </c>
      <c r="G36" t="s">
        <v>40</v>
      </c>
      <c r="H36" s="87" t="str">
        <f t="shared" si="0"/>
        <v/>
      </c>
    </row>
    <row r="37" spans="5:8" x14ac:dyDescent="0.35">
      <c r="E37" s="88">
        <v>2</v>
      </c>
      <c r="F37" s="14" t="s">
        <v>49</v>
      </c>
      <c r="G37" s="14" t="s">
        <v>41</v>
      </c>
      <c r="H37" s="87" t="str">
        <f t="shared" si="0"/>
        <v/>
      </c>
    </row>
    <row r="38" spans="5:8" x14ac:dyDescent="0.35">
      <c r="E38" s="90">
        <v>2</v>
      </c>
      <c r="F38" t="s">
        <v>49</v>
      </c>
      <c r="G38" t="s">
        <v>42</v>
      </c>
      <c r="H38" s="87" t="str">
        <f t="shared" si="0"/>
        <v/>
      </c>
    </row>
    <row r="39" spans="5:8" x14ac:dyDescent="0.35">
      <c r="E39" s="88">
        <v>2</v>
      </c>
      <c r="F39" s="14" t="s">
        <v>50</v>
      </c>
      <c r="G39" s="14" t="s">
        <v>27</v>
      </c>
      <c r="H39" s="87" t="str">
        <f t="shared" si="0"/>
        <v/>
      </c>
    </row>
    <row r="40" spans="5:8" x14ac:dyDescent="0.35">
      <c r="E40" s="88">
        <v>2</v>
      </c>
      <c r="F40" s="14" t="s">
        <v>50</v>
      </c>
      <c r="G40" s="14" t="s">
        <v>29</v>
      </c>
      <c r="H40" s="87" t="str">
        <f t="shared" si="0"/>
        <v/>
      </c>
    </row>
    <row r="41" spans="5:8" x14ac:dyDescent="0.35">
      <c r="E41" s="85">
        <v>2</v>
      </c>
      <c r="F41" s="86" t="s">
        <v>50</v>
      </c>
      <c r="G41" s="86" t="s">
        <v>30</v>
      </c>
      <c r="H41" s="87" t="str">
        <f t="shared" si="0"/>
        <v/>
      </c>
    </row>
    <row r="42" spans="5:8" x14ac:dyDescent="0.35">
      <c r="E42" s="88">
        <v>2</v>
      </c>
      <c r="F42" s="14" t="s">
        <v>50</v>
      </c>
      <c r="G42" s="14" t="s">
        <v>31</v>
      </c>
      <c r="H42" s="87" t="str">
        <f t="shared" si="0"/>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9C59E6-A368-4323-8BBC-AA15C9F08F34}">
  <sheetPr codeName="Feuil1">
    <tabColor theme="4" tint="0.79998168889431442"/>
  </sheetPr>
  <dimension ref="A1:P43"/>
  <sheetViews>
    <sheetView topLeftCell="D4" zoomScale="85" zoomScaleNormal="85" workbookViewId="0">
      <selection activeCell="R12" sqref="R12"/>
    </sheetView>
  </sheetViews>
  <sheetFormatPr baseColWidth="10" defaultColWidth="11.453125" defaultRowHeight="14.5" x14ac:dyDescent="0.35"/>
  <cols>
    <col min="1" max="1" width="11.453125" customWidth="1"/>
    <col min="2" max="2" width="32.1796875" customWidth="1"/>
    <col min="3" max="3" width="81.81640625" customWidth="1"/>
    <col min="4" max="4" width="7.26953125" customWidth="1"/>
    <col min="5" max="5" width="10.7265625" customWidth="1"/>
    <col min="6" max="6" width="56.81640625" customWidth="1"/>
    <col min="7" max="7" width="96.453125" customWidth="1"/>
    <col min="8" max="8" width="13.54296875" customWidth="1"/>
    <col min="12" max="12" width="12.1796875" customWidth="1"/>
  </cols>
  <sheetData>
    <row r="1" spans="1:15" ht="15.5" x14ac:dyDescent="0.35">
      <c r="I1" s="49" t="s">
        <v>54</v>
      </c>
    </row>
    <row r="2" spans="1:15" x14ac:dyDescent="0.35">
      <c r="D2" s="212"/>
      <c r="E2" s="213"/>
      <c r="F2" s="213"/>
      <c r="G2" s="213"/>
    </row>
    <row r="4" spans="1:15" ht="46" x14ac:dyDescent="1">
      <c r="E4" s="209" t="s">
        <v>57</v>
      </c>
      <c r="F4" s="209"/>
      <c r="G4" s="209"/>
      <c r="H4" s="209"/>
    </row>
    <row r="6" spans="1:15" x14ac:dyDescent="0.35">
      <c r="H6" s="79"/>
    </row>
    <row r="7" spans="1:15" ht="39.5" x14ac:dyDescent="0.7">
      <c r="A7" s="210" t="s">
        <v>53</v>
      </c>
      <c r="B7" s="210"/>
      <c r="C7" s="210"/>
      <c r="D7" s="211"/>
      <c r="E7" s="99" t="s">
        <v>43</v>
      </c>
      <c r="F7" s="99" t="s">
        <v>44</v>
      </c>
      <c r="G7" s="99" t="s">
        <v>45</v>
      </c>
      <c r="H7" s="80" t="s">
        <v>53</v>
      </c>
      <c r="I7" s="214" t="s">
        <v>62</v>
      </c>
      <c r="J7" s="215"/>
      <c r="K7" s="215"/>
      <c r="L7" s="215"/>
      <c r="M7" s="216"/>
      <c r="N7" s="216"/>
      <c r="O7" s="216"/>
    </row>
    <row r="8" spans="1:15" x14ac:dyDescent="0.35">
      <c r="A8" s="114" t="s">
        <v>43</v>
      </c>
      <c r="B8" s="114" t="s">
        <v>44</v>
      </c>
      <c r="C8" s="114" t="s">
        <v>52</v>
      </c>
      <c r="D8" s="115" t="s">
        <v>46</v>
      </c>
      <c r="E8" s="52">
        <v>1</v>
      </c>
      <c r="F8" s="50" t="s">
        <v>47</v>
      </c>
      <c r="G8" s="50" t="s">
        <v>4</v>
      </c>
      <c r="H8" s="103">
        <f t="shared" ref="H8:H30" si="0">IF(AND($A$9=E8,$B$9=F8,$C$9=G8),$D$9,"")</f>
        <v>0</v>
      </c>
      <c r="I8" s="83"/>
      <c r="J8" s="83"/>
      <c r="K8" s="83"/>
      <c r="L8" s="107"/>
      <c r="M8" s="83"/>
      <c r="N8" s="83"/>
      <c r="O8" s="83"/>
    </row>
    <row r="9" spans="1:15" x14ac:dyDescent="0.35">
      <c r="A9" s="116">
        <v>1</v>
      </c>
      <c r="B9" s="117" t="s">
        <v>47</v>
      </c>
      <c r="C9" s="116" t="s">
        <v>4</v>
      </c>
      <c r="D9" s="118"/>
      <c r="E9" s="52">
        <v>1</v>
      </c>
      <c r="F9" s="50" t="s">
        <v>47</v>
      </c>
      <c r="G9" s="50" t="s">
        <v>5</v>
      </c>
      <c r="H9" s="103" t="str">
        <f t="shared" si="0"/>
        <v/>
      </c>
      <c r="I9" s="81"/>
      <c r="J9" s="81"/>
      <c r="K9" s="81"/>
      <c r="L9" s="97"/>
      <c r="M9" s="81"/>
      <c r="N9" s="81"/>
      <c r="O9" s="81"/>
    </row>
    <row r="10" spans="1:15" x14ac:dyDescent="0.35">
      <c r="D10" s="108"/>
      <c r="E10" s="53">
        <v>1</v>
      </c>
      <c r="F10" s="50" t="s">
        <v>47</v>
      </c>
      <c r="G10" s="50" t="s">
        <v>6</v>
      </c>
      <c r="H10" s="103" t="str">
        <f t="shared" si="0"/>
        <v/>
      </c>
      <c r="I10" s="81"/>
      <c r="J10" s="81"/>
      <c r="K10" s="81"/>
      <c r="L10" s="97"/>
      <c r="M10" s="81"/>
      <c r="N10" s="81"/>
      <c r="O10" s="81"/>
    </row>
    <row r="11" spans="1:15" x14ac:dyDescent="0.35">
      <c r="E11" s="53">
        <v>1</v>
      </c>
      <c r="F11" s="50" t="s">
        <v>47</v>
      </c>
      <c r="G11" s="50" t="s">
        <v>8</v>
      </c>
      <c r="H11" s="103" t="str">
        <f>IF(AND($A$9=E11,$B$9=F11,$C$9=G11),$D$9,"")</f>
        <v/>
      </c>
      <c r="I11" s="81"/>
      <c r="J11" s="81"/>
      <c r="K11" s="81"/>
      <c r="L11" s="97"/>
      <c r="M11" s="81"/>
      <c r="N11" s="81"/>
      <c r="O11" s="81"/>
    </row>
    <row r="12" spans="1:15" x14ac:dyDescent="0.35">
      <c r="E12" s="53">
        <v>1</v>
      </c>
      <c r="F12" s="50" t="s">
        <v>47</v>
      </c>
      <c r="G12" s="50" t="s">
        <v>9</v>
      </c>
      <c r="H12" s="103" t="str">
        <f t="shared" si="0"/>
        <v/>
      </c>
      <c r="I12" s="81"/>
      <c r="J12" s="81"/>
      <c r="K12" s="81"/>
      <c r="L12" s="97"/>
      <c r="M12" s="81"/>
      <c r="N12" s="81"/>
      <c r="O12" s="81"/>
    </row>
    <row r="13" spans="1:15" x14ac:dyDescent="0.35">
      <c r="E13" s="54">
        <v>1</v>
      </c>
      <c r="F13" s="51" t="s">
        <v>48</v>
      </c>
      <c r="G13" s="51" t="s">
        <v>11</v>
      </c>
      <c r="H13" s="103" t="str">
        <f t="shared" si="0"/>
        <v/>
      </c>
      <c r="I13" s="81"/>
      <c r="J13" s="81"/>
      <c r="K13" s="81"/>
      <c r="L13" s="97"/>
      <c r="M13" s="81"/>
      <c r="N13" s="81"/>
      <c r="O13" s="81"/>
    </row>
    <row r="14" spans="1:15" x14ac:dyDescent="0.35">
      <c r="E14" s="54">
        <v>1</v>
      </c>
      <c r="F14" s="51" t="s">
        <v>48</v>
      </c>
      <c r="G14" s="51" t="s">
        <v>12</v>
      </c>
      <c r="H14" s="103" t="str">
        <f t="shared" si="0"/>
        <v/>
      </c>
      <c r="I14" s="81"/>
      <c r="J14" s="81"/>
      <c r="K14" s="81"/>
      <c r="L14" s="97"/>
      <c r="M14" s="81"/>
      <c r="N14" s="81"/>
      <c r="O14" s="81"/>
    </row>
    <row r="15" spans="1:15" x14ac:dyDescent="0.35">
      <c r="E15" s="54">
        <v>1</v>
      </c>
      <c r="F15" s="51" t="s">
        <v>48</v>
      </c>
      <c r="G15" s="51" t="s">
        <v>13</v>
      </c>
      <c r="H15" s="103" t="str">
        <f t="shared" si="0"/>
        <v/>
      </c>
      <c r="I15" s="81"/>
      <c r="J15" s="81"/>
      <c r="K15" s="81"/>
      <c r="L15" s="97"/>
      <c r="M15" s="81"/>
      <c r="N15" s="81"/>
      <c r="O15" s="81"/>
    </row>
    <row r="16" spans="1:15" x14ac:dyDescent="0.35">
      <c r="E16" s="54">
        <v>1</v>
      </c>
      <c r="F16" s="51" t="s">
        <v>48</v>
      </c>
      <c r="G16" s="51" t="s">
        <v>14</v>
      </c>
      <c r="H16" s="103" t="str">
        <f t="shared" si="0"/>
        <v/>
      </c>
      <c r="I16" s="81"/>
      <c r="J16" s="81"/>
      <c r="K16" s="81"/>
      <c r="L16" s="97"/>
      <c r="M16" s="81"/>
      <c r="N16" s="81"/>
      <c r="O16" s="81"/>
    </row>
    <row r="17" spans="5:16" x14ac:dyDescent="0.35">
      <c r="E17" s="55">
        <v>1</v>
      </c>
      <c r="F17" s="69" t="s">
        <v>49</v>
      </c>
      <c r="G17" s="69" t="s">
        <v>16</v>
      </c>
      <c r="H17" s="103" t="str">
        <f t="shared" si="0"/>
        <v/>
      </c>
      <c r="I17" s="81"/>
      <c r="J17" s="81"/>
      <c r="K17" s="81"/>
      <c r="L17" s="97"/>
      <c r="M17" s="81"/>
      <c r="N17" s="81"/>
      <c r="O17" s="81"/>
    </row>
    <row r="18" spans="5:16" x14ac:dyDescent="0.35">
      <c r="E18" s="55">
        <v>1</v>
      </c>
      <c r="F18" s="69" t="s">
        <v>49</v>
      </c>
      <c r="G18" s="69" t="s">
        <v>17</v>
      </c>
      <c r="H18" s="103" t="str">
        <f t="shared" si="0"/>
        <v/>
      </c>
      <c r="I18" s="81"/>
      <c r="J18" s="81"/>
      <c r="K18" s="81"/>
      <c r="L18" s="97"/>
      <c r="M18" s="81"/>
      <c r="N18" s="81"/>
      <c r="O18" s="81"/>
    </row>
    <row r="19" spans="5:16" x14ac:dyDescent="0.35">
      <c r="E19" s="55">
        <v>1</v>
      </c>
      <c r="F19" s="69" t="s">
        <v>49</v>
      </c>
      <c r="G19" s="69" t="s">
        <v>18</v>
      </c>
      <c r="H19" s="103" t="str">
        <f t="shared" si="0"/>
        <v/>
      </c>
      <c r="I19" s="81"/>
      <c r="J19" s="81"/>
      <c r="K19" s="81"/>
      <c r="L19" s="97"/>
      <c r="M19" s="81"/>
      <c r="N19" s="81"/>
      <c r="O19" s="81"/>
    </row>
    <row r="20" spans="5:16" x14ac:dyDescent="0.35">
      <c r="E20" s="55">
        <v>1</v>
      </c>
      <c r="F20" s="69" t="s">
        <v>49</v>
      </c>
      <c r="G20" s="69" t="s">
        <v>19</v>
      </c>
      <c r="H20" s="103" t="str">
        <f t="shared" si="0"/>
        <v/>
      </c>
      <c r="I20" s="81"/>
      <c r="J20" s="81"/>
      <c r="K20" s="81"/>
      <c r="L20" s="97"/>
      <c r="M20" s="81"/>
      <c r="N20" s="81"/>
      <c r="O20" s="81"/>
    </row>
    <row r="21" spans="5:16" x14ac:dyDescent="0.35">
      <c r="E21" s="56">
        <v>1</v>
      </c>
      <c r="F21" s="73" t="s">
        <v>49</v>
      </c>
      <c r="G21" s="73" t="s">
        <v>20</v>
      </c>
      <c r="H21" s="103" t="str">
        <f t="shared" si="0"/>
        <v/>
      </c>
      <c r="I21" s="81"/>
      <c r="J21" s="81"/>
      <c r="K21" s="81"/>
      <c r="L21" s="97"/>
      <c r="M21" s="81"/>
      <c r="N21" s="81"/>
      <c r="O21" s="81"/>
    </row>
    <row r="22" spans="5:16" x14ac:dyDescent="0.35">
      <c r="E22" s="57">
        <v>1</v>
      </c>
      <c r="F22" s="71" t="s">
        <v>49</v>
      </c>
      <c r="G22" s="71" t="s">
        <v>21</v>
      </c>
      <c r="H22" s="103" t="str">
        <f t="shared" si="0"/>
        <v/>
      </c>
      <c r="I22" s="81"/>
      <c r="J22" s="81"/>
      <c r="K22" s="81"/>
      <c r="L22" s="97"/>
      <c r="M22" s="81"/>
      <c r="N22" s="81"/>
      <c r="O22" s="81"/>
    </row>
    <row r="23" spans="5:16" ht="15" thickBot="1" x14ac:dyDescent="0.4">
      <c r="E23" s="58">
        <v>1</v>
      </c>
      <c r="F23" s="59" t="s">
        <v>50</v>
      </c>
      <c r="G23" s="91" t="s">
        <v>7</v>
      </c>
      <c r="H23" s="106" t="str">
        <f t="shared" si="0"/>
        <v/>
      </c>
      <c r="I23" s="82"/>
      <c r="J23" s="81"/>
      <c r="K23" s="81"/>
      <c r="L23" s="97"/>
      <c r="M23" s="81"/>
      <c r="N23" s="81"/>
      <c r="O23" s="81"/>
    </row>
    <row r="24" spans="5:16" ht="15" thickTop="1" x14ac:dyDescent="0.35">
      <c r="E24" s="77">
        <v>2</v>
      </c>
      <c r="F24" s="78" t="s">
        <v>47</v>
      </c>
      <c r="G24" s="101" t="s">
        <v>23</v>
      </c>
      <c r="H24" s="105" t="str">
        <f t="shared" si="0"/>
        <v/>
      </c>
      <c r="I24" s="102"/>
      <c r="J24" s="84"/>
      <c r="K24" s="84"/>
      <c r="L24" s="98"/>
      <c r="M24" s="98"/>
      <c r="N24" s="98"/>
      <c r="O24" s="98"/>
      <c r="P24" s="90"/>
    </row>
    <row r="25" spans="5:16" x14ac:dyDescent="0.35">
      <c r="E25" s="53">
        <v>2</v>
      </c>
      <c r="F25" s="50" t="s">
        <v>47</v>
      </c>
      <c r="G25" s="63" t="s">
        <v>24</v>
      </c>
      <c r="H25" s="104" t="str">
        <f t="shared" si="0"/>
        <v/>
      </c>
      <c r="I25" s="83"/>
      <c r="J25" s="81"/>
      <c r="K25" s="81"/>
      <c r="L25" s="97"/>
      <c r="M25" s="81"/>
      <c r="N25" s="81"/>
      <c r="O25" s="81"/>
    </row>
    <row r="26" spans="5:16" x14ac:dyDescent="0.35">
      <c r="E26" s="61">
        <v>2</v>
      </c>
      <c r="F26" s="62" t="s">
        <v>47</v>
      </c>
      <c r="G26" s="64" t="s">
        <v>25</v>
      </c>
      <c r="H26" s="100" t="str">
        <f t="shared" si="0"/>
        <v/>
      </c>
      <c r="I26" s="83"/>
      <c r="J26" s="81"/>
      <c r="K26" s="81"/>
      <c r="L26" s="97"/>
      <c r="M26" s="81"/>
      <c r="N26" s="81"/>
      <c r="O26" s="81"/>
    </row>
    <row r="27" spans="5:16" x14ac:dyDescent="0.35">
      <c r="E27" s="53">
        <v>2</v>
      </c>
      <c r="F27" s="50" t="s">
        <v>47</v>
      </c>
      <c r="G27" s="63" t="s">
        <v>26</v>
      </c>
      <c r="H27" s="100" t="str">
        <f t="shared" si="0"/>
        <v/>
      </c>
      <c r="I27" s="83"/>
      <c r="J27" s="81"/>
      <c r="K27" s="81"/>
      <c r="L27" s="97"/>
      <c r="M27" s="81"/>
      <c r="N27" s="81"/>
      <c r="O27" s="81"/>
    </row>
    <row r="28" spans="5:16" x14ac:dyDescent="0.35">
      <c r="E28" s="61">
        <v>2</v>
      </c>
      <c r="F28" s="62" t="s">
        <v>47</v>
      </c>
      <c r="G28" s="64" t="s">
        <v>28</v>
      </c>
      <c r="H28" s="100" t="str">
        <f t="shared" si="0"/>
        <v/>
      </c>
      <c r="I28" s="83"/>
      <c r="J28" s="81"/>
      <c r="K28" s="81"/>
      <c r="L28" s="97"/>
      <c r="M28" s="81"/>
      <c r="N28" s="81"/>
      <c r="O28" s="81"/>
    </row>
    <row r="29" spans="5:16" x14ac:dyDescent="0.35">
      <c r="E29" s="54">
        <v>2</v>
      </c>
      <c r="F29" s="51" t="s">
        <v>48</v>
      </c>
      <c r="G29" s="66" t="s">
        <v>32</v>
      </c>
      <c r="H29" s="100" t="str">
        <f>IF(AND($A$9=E29,$B$9=F29,$C$9=G29),$D$9,"")</f>
        <v/>
      </c>
      <c r="I29" s="83"/>
      <c r="J29" s="81"/>
      <c r="K29" s="81"/>
      <c r="L29" s="97"/>
      <c r="M29" s="81"/>
      <c r="N29" s="81"/>
      <c r="O29" s="81"/>
    </row>
    <row r="30" spans="5:16" x14ac:dyDescent="0.35">
      <c r="E30" s="65">
        <v>2</v>
      </c>
      <c r="F30" s="67" t="s">
        <v>48</v>
      </c>
      <c r="G30" s="68" t="s">
        <v>33</v>
      </c>
      <c r="H30" s="100" t="str">
        <f t="shared" si="0"/>
        <v/>
      </c>
      <c r="I30" s="83"/>
      <c r="J30" s="81"/>
      <c r="K30" s="81"/>
      <c r="L30" s="97"/>
      <c r="M30" s="81"/>
      <c r="N30" s="81"/>
      <c r="O30" s="81"/>
    </row>
    <row r="31" spans="5:16" x14ac:dyDescent="0.35">
      <c r="E31" s="54">
        <v>2</v>
      </c>
      <c r="F31" s="51" t="s">
        <v>48</v>
      </c>
      <c r="G31" s="66" t="s">
        <v>34</v>
      </c>
      <c r="H31" s="100" t="str">
        <f>IF(AND($A$9=E31,$B$9=F31,$C$9=G31),$D$9,"")</f>
        <v/>
      </c>
      <c r="I31" s="83"/>
      <c r="J31" s="81"/>
      <c r="K31" s="81"/>
      <c r="L31" s="97"/>
      <c r="M31" s="81"/>
      <c r="N31" s="81"/>
      <c r="O31" s="81"/>
    </row>
    <row r="32" spans="5:16" x14ac:dyDescent="0.35">
      <c r="E32" s="65">
        <v>2</v>
      </c>
      <c r="F32" s="67" t="s">
        <v>48</v>
      </c>
      <c r="G32" s="68" t="s">
        <v>35</v>
      </c>
      <c r="H32" s="100" t="str">
        <f t="shared" ref="H32:H42" si="1">IF(AND($A$9=E32,$B$9=F32,$C$9=G32),$D$9,"")</f>
        <v/>
      </c>
      <c r="I32" s="83"/>
      <c r="J32" s="81"/>
      <c r="K32" s="81"/>
      <c r="L32" s="97"/>
      <c r="M32" s="81"/>
      <c r="N32" s="81"/>
      <c r="O32" s="81"/>
    </row>
    <row r="33" spans="5:15" x14ac:dyDescent="0.35">
      <c r="E33" s="54">
        <v>2</v>
      </c>
      <c r="F33" s="51" t="s">
        <v>48</v>
      </c>
      <c r="G33" s="66" t="s">
        <v>36</v>
      </c>
      <c r="H33" s="100" t="str">
        <f t="shared" si="1"/>
        <v/>
      </c>
      <c r="I33" s="83"/>
      <c r="J33" s="81"/>
      <c r="K33" s="81"/>
      <c r="L33" s="97"/>
      <c r="M33" s="81"/>
      <c r="N33" s="81"/>
      <c r="O33" s="81"/>
    </row>
    <row r="34" spans="5:15" x14ac:dyDescent="0.35">
      <c r="E34" s="65">
        <v>2</v>
      </c>
      <c r="F34" s="67" t="s">
        <v>48</v>
      </c>
      <c r="G34" s="68" t="s">
        <v>38</v>
      </c>
      <c r="H34" s="100" t="str">
        <f t="shared" si="1"/>
        <v/>
      </c>
      <c r="I34" s="83"/>
      <c r="J34" s="81"/>
      <c r="K34" s="81"/>
      <c r="L34" s="97"/>
      <c r="M34" s="81"/>
      <c r="N34" s="81"/>
      <c r="O34" s="81"/>
    </row>
    <row r="35" spans="5:15" x14ac:dyDescent="0.35">
      <c r="E35" s="55">
        <v>2</v>
      </c>
      <c r="F35" s="69" t="s">
        <v>49</v>
      </c>
      <c r="G35" s="70" t="s">
        <v>39</v>
      </c>
      <c r="H35" s="100" t="str">
        <f t="shared" si="1"/>
        <v/>
      </c>
      <c r="I35" s="83"/>
      <c r="J35" s="81"/>
      <c r="K35" s="81"/>
      <c r="L35" s="97"/>
      <c r="M35" s="81"/>
      <c r="N35" s="81"/>
      <c r="O35" s="81"/>
    </row>
    <row r="36" spans="5:15" x14ac:dyDescent="0.35">
      <c r="E36" s="57">
        <v>2</v>
      </c>
      <c r="F36" s="71" t="s">
        <v>49</v>
      </c>
      <c r="G36" s="72" t="s">
        <v>40</v>
      </c>
      <c r="H36" s="100" t="str">
        <f t="shared" si="1"/>
        <v/>
      </c>
      <c r="I36" s="83"/>
      <c r="J36" s="81"/>
      <c r="K36" s="81"/>
      <c r="L36" s="97"/>
      <c r="M36" s="81"/>
      <c r="N36" s="81"/>
      <c r="O36" s="81"/>
    </row>
    <row r="37" spans="5:15" x14ac:dyDescent="0.35">
      <c r="E37" s="55">
        <v>2</v>
      </c>
      <c r="F37" s="69" t="s">
        <v>49</v>
      </c>
      <c r="G37" s="70" t="s">
        <v>41</v>
      </c>
      <c r="H37" s="100" t="str">
        <f t="shared" si="1"/>
        <v/>
      </c>
      <c r="I37" s="83"/>
      <c r="J37" s="81"/>
      <c r="K37" s="81"/>
      <c r="L37" s="97"/>
      <c r="M37" s="81"/>
      <c r="N37" s="81"/>
      <c r="O37" s="81"/>
    </row>
    <row r="38" spans="5:15" x14ac:dyDescent="0.35">
      <c r="E38" s="57">
        <v>2</v>
      </c>
      <c r="F38" s="71" t="s">
        <v>49</v>
      </c>
      <c r="G38" s="72" t="s">
        <v>42</v>
      </c>
      <c r="H38" s="100" t="str">
        <f t="shared" si="1"/>
        <v/>
      </c>
      <c r="I38" s="83"/>
      <c r="J38" s="81"/>
      <c r="K38" s="81"/>
      <c r="L38" s="97"/>
      <c r="M38" s="81"/>
      <c r="N38" s="81"/>
      <c r="O38" s="81"/>
    </row>
    <row r="39" spans="5:15" x14ac:dyDescent="0.35">
      <c r="E39" s="58">
        <v>2</v>
      </c>
      <c r="F39" s="59" t="s">
        <v>50</v>
      </c>
      <c r="G39" s="60" t="s">
        <v>27</v>
      </c>
      <c r="H39" s="100" t="str">
        <f t="shared" si="1"/>
        <v/>
      </c>
      <c r="I39" s="83"/>
      <c r="J39" s="81"/>
      <c r="K39" s="81"/>
      <c r="L39" s="97"/>
      <c r="M39" s="81"/>
      <c r="N39" s="81"/>
      <c r="O39" s="81"/>
    </row>
    <row r="40" spans="5:15" x14ac:dyDescent="0.35">
      <c r="E40" s="58">
        <v>2</v>
      </c>
      <c r="F40" s="59" t="s">
        <v>50</v>
      </c>
      <c r="G40" s="60" t="s">
        <v>29</v>
      </c>
      <c r="H40" s="100" t="str">
        <f t="shared" si="1"/>
        <v/>
      </c>
      <c r="I40" s="83"/>
      <c r="J40" s="81"/>
      <c r="K40" s="81"/>
      <c r="L40" s="97"/>
      <c r="M40" s="81"/>
      <c r="N40" s="81"/>
      <c r="O40" s="81"/>
    </row>
    <row r="41" spans="5:15" x14ac:dyDescent="0.35">
      <c r="E41" s="74">
        <v>2</v>
      </c>
      <c r="F41" s="75" t="s">
        <v>50</v>
      </c>
      <c r="G41" s="76" t="s">
        <v>30</v>
      </c>
      <c r="H41" s="100" t="str">
        <f t="shared" si="1"/>
        <v/>
      </c>
      <c r="I41" s="83"/>
      <c r="J41" s="81"/>
      <c r="K41" s="81"/>
      <c r="L41" s="97"/>
      <c r="M41" s="81"/>
      <c r="N41" s="81"/>
      <c r="O41" s="81"/>
    </row>
    <row r="42" spans="5:15" x14ac:dyDescent="0.35">
      <c r="E42" s="58">
        <v>2</v>
      </c>
      <c r="F42" s="59" t="s">
        <v>50</v>
      </c>
      <c r="G42" s="60" t="s">
        <v>31</v>
      </c>
      <c r="H42" s="100" t="str">
        <f t="shared" si="1"/>
        <v/>
      </c>
      <c r="I42" s="83"/>
      <c r="J42" s="81"/>
      <c r="K42" s="81"/>
      <c r="L42" s="97"/>
      <c r="M42" s="81"/>
      <c r="N42" s="81"/>
      <c r="O42" s="81"/>
    </row>
    <row r="43" spans="5:15" x14ac:dyDescent="0.35">
      <c r="H43" s="96"/>
    </row>
  </sheetData>
  <mergeCells count="4">
    <mergeCell ref="E4:H4"/>
    <mergeCell ref="A7:D7"/>
    <mergeCell ref="D2:G2"/>
    <mergeCell ref="I7:O7"/>
  </mergeCells>
  <phoneticPr fontId="7"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btxConfiirmerChoix">
          <controlPr defaultSize="0" autoLine="0" r:id="rId5">
            <anchor moveWithCells="1" sizeWithCells="1">
              <from>
                <xdr:col>11</xdr:col>
                <xdr:colOff>419100</xdr:colOff>
                <xdr:row>0</xdr:row>
                <xdr:rowOff>0</xdr:rowOff>
              </from>
              <to>
                <xdr:col>12</xdr:col>
                <xdr:colOff>304800</xdr:colOff>
                <xdr:row>1</xdr:row>
                <xdr:rowOff>127000</xdr:rowOff>
              </to>
            </anchor>
          </controlPr>
        </control>
      </mc:Choice>
      <mc:Fallback>
        <control shapeId="7169" r:id="rId4" name="btxConfiirmerChoix"/>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6779E-15D0-4EAC-8B01-6E029CC9FF77}">
  <sheetPr codeName="Feuil4">
    <tabColor theme="4" tint="0.79998168889431442"/>
  </sheetPr>
  <dimension ref="A1:D18"/>
  <sheetViews>
    <sheetView workbookViewId="0">
      <selection activeCell="B11" sqref="B11"/>
    </sheetView>
  </sheetViews>
  <sheetFormatPr baseColWidth="10" defaultColWidth="11.453125" defaultRowHeight="14.5" x14ac:dyDescent="0.35"/>
  <cols>
    <col min="2" max="2" width="47.54296875" bestFit="1" customWidth="1"/>
    <col min="3" max="3" width="79.7265625" bestFit="1" customWidth="1"/>
    <col min="4" max="4" width="81.453125" customWidth="1"/>
  </cols>
  <sheetData>
    <row r="1" spans="1:4" s="13" customFormat="1" x14ac:dyDescent="0.35">
      <c r="A1" s="13" t="s">
        <v>43</v>
      </c>
      <c r="B1" s="13" t="s">
        <v>44</v>
      </c>
      <c r="C1"/>
      <c r="D1"/>
    </row>
    <row r="2" spans="1:4" ht="14.5" customHeight="1" x14ac:dyDescent="0.35">
      <c r="A2">
        <v>1</v>
      </c>
      <c r="B2" s="10" t="s">
        <v>47</v>
      </c>
    </row>
    <row r="3" spans="1:4" x14ac:dyDescent="0.35">
      <c r="A3">
        <v>2</v>
      </c>
      <c r="B3" s="9" t="s">
        <v>48</v>
      </c>
    </row>
    <row r="4" spans="1:4" x14ac:dyDescent="0.35">
      <c r="B4" s="8" t="s">
        <v>49</v>
      </c>
    </row>
    <row r="5" spans="1:4" x14ac:dyDescent="0.35">
      <c r="B5" s="4" t="s">
        <v>50</v>
      </c>
    </row>
    <row r="8" spans="1:4" ht="14.5" customHeight="1" x14ac:dyDescent="0.35"/>
    <row r="18" spans="2:2" x14ac:dyDescent="0.35">
      <c r="B18" t="s">
        <v>51</v>
      </c>
    </row>
  </sheetData>
  <sortState xmlns:xlrd2="http://schemas.microsoft.com/office/spreadsheetml/2017/richdata2" ref="C2:C30">
    <sortCondition ref="C2:C30"/>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2094EA830225542ACCD6AA0F8D0B3AC" ma:contentTypeVersion="5" ma:contentTypeDescription="Crée un document." ma:contentTypeScope="" ma:versionID="99043834eeac6667011f903e354f47cd">
  <xsd:schema xmlns:xsd="http://www.w3.org/2001/XMLSchema" xmlns:xs="http://www.w3.org/2001/XMLSchema" xmlns:p="http://schemas.microsoft.com/office/2006/metadata/properties" xmlns:ns3="edb50690-6995-4c0d-85c6-e27999c39bce" xmlns:ns4="07691ffe-a764-4186-9f68-8049175da8db" targetNamespace="http://schemas.microsoft.com/office/2006/metadata/properties" ma:root="true" ma:fieldsID="7889148932b10724ab3ef53279b135a2" ns3:_="" ns4:_="">
    <xsd:import namespace="edb50690-6995-4c0d-85c6-e27999c39bce"/>
    <xsd:import namespace="07691ffe-a764-4186-9f68-8049175da8db"/>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db50690-6995-4c0d-85c6-e27999c39b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7691ffe-a764-4186-9f68-8049175da8db" elementFormDefault="qualified">
    <xsd:import namespace="http://schemas.microsoft.com/office/2006/documentManagement/types"/>
    <xsd:import namespace="http://schemas.microsoft.com/office/infopath/2007/PartnerControls"/>
    <xsd:element name="SharedWithUsers" ma:index="10"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Partagé avec détails" ma:internalName="SharedWithDetails" ma:readOnly="true">
      <xsd:simpleType>
        <xsd:restriction base="dms:Note">
          <xsd:maxLength value="255"/>
        </xsd:restriction>
      </xsd:simpleType>
    </xsd:element>
    <xsd:element name="SharingHintHash" ma:index="12"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630A7F3-B3AA-4329-8DDB-BD3AD1330D54}">
  <ds:schemaRefs>
    <ds:schemaRef ds:uri="http://purl.org/dc/terms/"/>
    <ds:schemaRef ds:uri="07691ffe-a764-4186-9f68-8049175da8db"/>
    <ds:schemaRef ds:uri="http://www.w3.org/XML/1998/namespace"/>
    <ds:schemaRef ds:uri="http://schemas.openxmlformats.org/package/2006/metadata/core-properties"/>
    <ds:schemaRef ds:uri="http://schemas.microsoft.com/office/2006/documentManagement/types"/>
    <ds:schemaRef ds:uri="edb50690-6995-4c0d-85c6-e27999c39bce"/>
    <ds:schemaRef ds:uri="http://schemas.microsoft.com/office/infopath/2007/PartnerControls"/>
    <ds:schemaRef ds:uri="http://schemas.microsoft.com/office/2006/metadata/properties"/>
    <ds:schemaRef ds:uri="http://purl.org/dc/dcmitype/"/>
    <ds:schemaRef ds:uri="http://purl.org/dc/elements/1.1/"/>
  </ds:schemaRefs>
</ds:datastoreItem>
</file>

<file path=customXml/itemProps2.xml><?xml version="1.0" encoding="utf-8"?>
<ds:datastoreItem xmlns:ds="http://schemas.openxmlformats.org/officeDocument/2006/customXml" ds:itemID="{1A32BD62-2E9E-45D6-A03B-0CC6FA7AAA0C}">
  <ds:schemaRefs>
    <ds:schemaRef ds:uri="http://schemas.microsoft.com/sharepoint/v3/contenttype/forms"/>
  </ds:schemaRefs>
</ds:datastoreItem>
</file>

<file path=customXml/itemProps3.xml><?xml version="1.0" encoding="utf-8"?>
<ds:datastoreItem xmlns:ds="http://schemas.openxmlformats.org/officeDocument/2006/customXml" ds:itemID="{F200A7C2-BD16-4091-8999-B7708F5A0C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db50690-6995-4c0d-85c6-e27999c39bce"/>
    <ds:schemaRef ds:uri="07691ffe-a764-4186-9f68-8049175da8d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Accueil</vt:lpstr>
      <vt:lpstr>Tableau de bord</vt:lpstr>
      <vt:lpstr>BDD-Objectifs</vt:lpstr>
      <vt:lpstr>BDD</vt:lpstr>
      <vt:lpstr>competences STID</vt:lpstr>
    </vt:vector>
  </TitlesOfParts>
  <Manager/>
  <Company>Université de Poitiers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Bureau Laurent</dc:creator>
  <cp:keywords/>
  <dc:description/>
  <cp:lastModifiedBy>Alessandra Di Mauro</cp:lastModifiedBy>
  <cp:revision/>
  <dcterms:created xsi:type="dcterms:W3CDTF">2021-04-11T08:18:39Z</dcterms:created>
  <dcterms:modified xsi:type="dcterms:W3CDTF">2023-01-09T21:54:08Z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0x01010022094EA830225542ACCD6AA0F8D0B3AC</vt:lpwstr>
  </property>
  <property fmtid="{D5CDD505-2E9C-101B-9397-08002B2CF9AE}" pid="3" name="MediaServiceImageTags">
    <vt:lpwstr/>
  </property>
</Properties>
</file>